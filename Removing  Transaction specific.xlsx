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le\Desktop\"/>
    </mc:Choice>
  </mc:AlternateContent>
  <xr:revisionPtr revIDLastSave="0" documentId="13_ncr:1_{BB4BF5F9-49B4-4071-8303-ADBC4336E879}" xr6:coauthVersionLast="47" xr6:coauthVersionMax="47" xr10:uidLastSave="{00000000-0000-0000-0000-000000000000}"/>
  <bookViews>
    <workbookView xWindow="28800" yWindow="-16485" windowWidth="29040" windowHeight="15720" xr2:uid="{00000000-000D-0000-FFFF-FFFF00000000}"/>
  </bookViews>
  <sheets>
    <sheet name="Sheet1" sheetId="1" r:id="rId1"/>
  </sheets>
  <definedNames>
    <definedName name="ExternalData_1" localSheetId="0" hidden="1">Sheet1!$A$9:$CV$10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FD58C5-597B-4C28-8F55-D456ABD91656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ACF075DE-7ABF-49A6-8A2E-2A646095A67E}" keepAlive="1" name="Query - QueryA" description="Connection to the 'QueryA' query in the workbook." type="5" refreshedVersion="8" background="1" saveData="1">
    <dbPr connection="Provider=Microsoft.Mashup.OleDb.1;Data Source=$Workbook$;Location=QueryA;Extended Properties=&quot;&quot;" command="SELECT * FROM [QueryA]"/>
  </connection>
</connections>
</file>

<file path=xl/sharedStrings.xml><?xml version="1.0" encoding="utf-8"?>
<sst xmlns="http://schemas.openxmlformats.org/spreadsheetml/2006/main" count="144" uniqueCount="129">
  <si>
    <t>Query</t>
  </si>
  <si>
    <t>Target lookup</t>
  </si>
  <si>
    <t>PXSiteSK</t>
  </si>
  <si>
    <t>OptimisticLockField</t>
  </si>
  <si>
    <t>00000000-0000-0000-0000-000000000000</t>
  </si>
  <si>
    <t>00000000-0000-0000-0000-000000000001</t>
  </si>
  <si>
    <t>ICTransaction_HSK</t>
  </si>
  <si>
    <t>TransactionID</t>
  </si>
  <si>
    <t>ICTransactionTypeSK</t>
  </si>
  <si>
    <t>TransactionDateTime</t>
  </si>
  <si>
    <t>CreatedDateTime</t>
  </si>
  <si>
    <t>ReferenceID</t>
  </si>
  <si>
    <t>ICOwnerSK</t>
  </si>
  <si>
    <t>OwnerID</t>
  </si>
  <si>
    <t>OwnerName</t>
  </si>
  <si>
    <t>ICFacilitySK</t>
  </si>
  <si>
    <t>FacilityID</t>
  </si>
  <si>
    <t>FacilityName</t>
  </si>
  <si>
    <t>ICFacilityTypeSK</t>
  </si>
  <si>
    <t>ICLotSK</t>
  </si>
  <si>
    <t>LotID</t>
  </si>
  <si>
    <t>LotProductID</t>
  </si>
  <si>
    <t>LotProductName01</t>
  </si>
  <si>
    <t>LotFacilityID</t>
  </si>
  <si>
    <t>LotFacilityName</t>
  </si>
  <si>
    <t>LotICFacilityTypeSK</t>
  </si>
  <si>
    <t>LotAreaOfOriginID</t>
  </si>
  <si>
    <t>LotCountryOfOriginID</t>
  </si>
  <si>
    <t>LotProjectID</t>
  </si>
  <si>
    <t>LotProjectTypeID</t>
  </si>
  <si>
    <t>LotProjectManagerID</t>
  </si>
  <si>
    <t>LotGradeID</t>
  </si>
  <si>
    <t>LotCreatedDate</t>
  </si>
  <si>
    <t>LotBestBeforeDate</t>
  </si>
  <si>
    <t>LotPullByDate</t>
  </si>
  <si>
    <t>ICWorkOrderSK</t>
  </si>
  <si>
    <t>WorkOrderID</t>
  </si>
  <si>
    <t>ICAdjustmentReasonCodeSK</t>
  </si>
  <si>
    <t>AdjustmentReasonCodeID</t>
  </si>
  <si>
    <t>FormulaID</t>
  </si>
  <si>
    <t>FormulaProcessID</t>
  </si>
  <si>
    <t>WarehouseReceiptID</t>
  </si>
  <si>
    <t>EntityName</t>
  </si>
  <si>
    <t>OrderID</t>
  </si>
  <si>
    <t>Units</t>
  </si>
  <si>
    <t>Fill</t>
  </si>
  <si>
    <t>FillPerUnit</t>
  </si>
  <si>
    <t>NetWeightPerFill</t>
  </si>
  <si>
    <t>NetWeight</t>
  </si>
  <si>
    <t>Note</t>
  </si>
  <si>
    <t>WorkflowID</t>
  </si>
  <si>
    <t>WorkflowDisplayID</t>
  </si>
  <si>
    <t>WorkflowStageID</t>
  </si>
  <si>
    <t>UserFieldValueID01</t>
  </si>
  <si>
    <t>UserFieldValueName01</t>
  </si>
  <si>
    <t>UserFieldValueID02</t>
  </si>
  <si>
    <t>UserFieldValueName02</t>
  </si>
  <si>
    <t>UserField03</t>
  </si>
  <si>
    <t>UserField04</t>
  </si>
  <si>
    <t>PXPostLogTransactionSK</t>
  </si>
  <si>
    <t>TransactionSource</t>
  </si>
  <si>
    <t>SiteID</t>
  </si>
  <si>
    <t>ICShipment_HSK</t>
  </si>
  <si>
    <t>ICAdjustment_HSK</t>
  </si>
  <si>
    <t>BTItemSK</t>
  </si>
  <si>
    <t>ICFacilityProductionLineSK</t>
  </si>
  <si>
    <t>ProductionLineID</t>
  </si>
  <si>
    <t>ICProcessSK</t>
  </si>
  <si>
    <t>ProcessID</t>
  </si>
  <si>
    <t>ICProduction_HSK</t>
  </si>
  <si>
    <t>ICTransfer_HSK</t>
  </si>
  <si>
    <t>ICReceipt_HSK</t>
  </si>
  <si>
    <t>SubUnits</t>
  </si>
  <si>
    <t>TareWeight</t>
  </si>
  <si>
    <t>ICSplit_HSK</t>
  </si>
  <si>
    <t>DisplayValueConversionFactor</t>
  </si>
  <si>
    <t>DisplayUnits</t>
  </si>
  <si>
    <t>DisplaySubUnits</t>
  </si>
  <si>
    <t>DisplayFill</t>
  </si>
  <si>
    <t>DisplayNetWeight</t>
  </si>
  <si>
    <t>DisplayTareWeight</t>
  </si>
  <si>
    <t>7c7f0ee6-76bb-49bd-a6fe-1fdd1193119c</t>
  </si>
  <si>
    <t>South Georgia Pecan</t>
  </si>
  <si>
    <t>6d2a5f5b-0413-4aee-be90-aef5b89af9fb</t>
  </si>
  <si>
    <t>SGP-LEVI</t>
  </si>
  <si>
    <t>SGP Levi</t>
  </si>
  <si>
    <t>Workflow01</t>
  </si>
  <si>
    <t>SGP-APPS1</t>
  </si>
  <si>
    <t>00000000-0000-0000-0000-000000000003</t>
  </si>
  <si>
    <t>ICTransaction_H Table</t>
  </si>
  <si>
    <t>BTEventLogSK</t>
  </si>
  <si>
    <t>BTEventSK</t>
  </si>
  <si>
    <t>BTItemSK2</t>
  </si>
  <si>
    <t>BeforeICFacilityLocationSK</t>
  </si>
  <si>
    <t>AfterICFacilityLocationSK</t>
  </si>
  <si>
    <t>CreatedBy</t>
  </si>
  <si>
    <t>CreatedDateTime2</t>
  </si>
  <si>
    <t>Source</t>
  </si>
  <si>
    <t>PXSiteSK2</t>
  </si>
  <si>
    <t>OptimisticLockField2</t>
  </si>
  <si>
    <t>EventLogID</t>
  </si>
  <si>
    <t>ICLotSK2</t>
  </si>
  <si>
    <t>ICTransaction_HSK2</t>
  </si>
  <si>
    <t>BeforeLocationID</t>
  </si>
  <si>
    <t>AfterLocationID</t>
  </si>
  <si>
    <t>BeforeParentBTItemSK</t>
  </si>
  <si>
    <t>AfterParentBTItemSK</t>
  </si>
  <si>
    <t>BeforeParentItemID</t>
  </si>
  <si>
    <t>AfterParentItemID</t>
  </si>
  <si>
    <t>BeforeICFacilitySK</t>
  </si>
  <si>
    <t>BeforeFacilityID</t>
  </si>
  <si>
    <t>AfterICFacilitySK</t>
  </si>
  <si>
    <t>AfterFacilityID</t>
  </si>
  <si>
    <t>WIP</t>
  </si>
  <si>
    <t>00000000-0000-0000-0000-000000000005</t>
  </si>
  <si>
    <t>f8c0a721-e33c-4508-b0b3-09a783e84de7</t>
  </si>
  <si>
    <t>Satake Line</t>
  </si>
  <si>
    <t>58354974-5a9a-e811-80bc-00155d657602</t>
  </si>
  <si>
    <t>2ZESM1</t>
  </si>
  <si>
    <t>000001138085</t>
  </si>
  <si>
    <t>74239929-c242-f011-81d1-00155d65760f</t>
  </si>
  <si>
    <t>6e239929-c242-f011-81d1-00155d65760f</t>
  </si>
  <si>
    <t>WIP09003SATA2025060654740</t>
  </si>
  <si>
    <t>WIP0900</t>
  </si>
  <si>
    <t>RTS - FS PECANS</t>
  </si>
  <si>
    <t>92081d2a-0242-f011-81d1-00155d65760f</t>
  </si>
  <si>
    <t>76239929-c242-f011-81d1-00155d65760f</t>
  </si>
  <si>
    <t>6f239929-c242-f011-81d1-00155d65760f</t>
  </si>
  <si>
    <t>Vynguyen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</si>
</sst>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" fillId="2" borderId="1" xfId="1" applyBorder="1"/>
    <xf numFmtId="49" fontId="0" fillId="0" borderId="2" xfId="0" applyNumberFormat="1" applyBorder="1"/>
    <xf numFmtId="0" fontId="0" fillId="0" borderId="0" xfId="0" applyAlignment="1">
      <alignment horizontal="left" vertical="top"/>
    </xf>
    <xf numFmtId="49" fontId="0" fillId="0" borderId="0" xfId="0" applyNumberFormat="1"/>
  </cellXfs>
  <cellStyles count="2">
    <cellStyle name="Neutral" xfId="1" builtinId="28"/>
    <cellStyle name="Normal" xfId="0" builtinId="0"/>
  </cellStyles>
  <dxfs count="8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CE610AF-9ED6-4D3A-AF21-D9226BF85927}" autoFormatId="16" applyNumberFormats="0" applyBorderFormats="0" applyFontFormats="0" applyPatternFormats="0" applyAlignmentFormats="0" applyWidthHeightFormats="0">
  <queryTableRefresh nextId="305">
    <queryTableFields count="100">
      <queryTableField id="23" name="ICTransaction_HSK" tableColumnId="24"/>
      <queryTableField id="155" name="TransactionID" tableColumnId="99"/>
      <queryTableField id="156" name="ICTransactionTypeSK" tableColumnId="100"/>
      <queryTableField id="157" name="TransactionDateTime" tableColumnId="101"/>
      <queryTableField id="27" name="CreatedDateTime" tableColumnId="28"/>
      <queryTableField id="28" name="ReferenceID" tableColumnId="29"/>
      <queryTableField id="158" name="ICOwnerSK" tableColumnId="102"/>
      <queryTableField id="159" name="OwnerID" tableColumnId="103"/>
      <queryTableField id="160" name="OwnerName" tableColumnId="104"/>
      <queryTableField id="161" name="ICFacilitySK" tableColumnId="105"/>
      <queryTableField id="162" name="FacilityID" tableColumnId="106"/>
      <queryTableField id="163" name="FacilityName" tableColumnId="107"/>
      <queryTableField id="164" name="ICFacilityTypeSK" tableColumnId="108"/>
      <queryTableField id="165" name="ICLotSK" tableColumnId="109"/>
      <queryTableField id="37" name="LotID" tableColumnId="38"/>
      <queryTableField id="166" name="LotProductID" tableColumnId="110"/>
      <queryTableField id="39" name="LotProductName01" tableColumnId="40"/>
      <queryTableField id="167" name="LotFacilityID" tableColumnId="111"/>
      <queryTableField id="168" name="LotFacilityName" tableColumnId="112"/>
      <queryTableField id="169" name="LotICFacilityTypeSK" tableColumnId="113"/>
      <queryTableField id="170" name="LotAreaOfOriginID" tableColumnId="114"/>
      <queryTableField id="171" name="LotCountryOfOriginID" tableColumnId="115"/>
      <queryTableField id="172" name="LotProjectID" tableColumnId="116"/>
      <queryTableField id="173" name="LotProjectTypeID" tableColumnId="117"/>
      <queryTableField id="174" name="LotProjectManagerID" tableColumnId="118"/>
      <queryTableField id="175" name="LotGradeID" tableColumnId="119"/>
      <queryTableField id="176" name="LotCreatedDate" tableColumnId="120"/>
      <queryTableField id="177" name="LotBestBeforeDate" tableColumnId="121"/>
      <queryTableField id="178" name="LotPullByDate" tableColumnId="122"/>
      <queryTableField id="179" name="ICWorkOrderSK" tableColumnId="123"/>
      <queryTableField id="180" name="WorkOrderID" tableColumnId="124"/>
      <queryTableField id="181" name="ICAdjustmentReasonCodeSK" tableColumnId="125"/>
      <queryTableField id="182" name="AdjustmentReasonCodeID" tableColumnId="126"/>
      <queryTableField id="183" name="FormulaID" tableColumnId="127"/>
      <queryTableField id="184" name="FormulaProcessID" tableColumnId="128"/>
      <queryTableField id="185" name="WarehouseReceiptID" tableColumnId="129"/>
      <queryTableField id="186" name="EntityName" tableColumnId="130"/>
      <queryTableField id="187" name="OrderID" tableColumnId="131"/>
      <queryTableField id="188" name="Units" tableColumnId="132"/>
      <queryTableField id="62" name="Fill" tableColumnId="63"/>
      <queryTableField id="189" name="FillPerUnit" tableColumnId="133"/>
      <queryTableField id="190" name="NetWeightPerFill" tableColumnId="134"/>
      <queryTableField id="191" name="NetWeight" tableColumnId="135"/>
      <queryTableField id="192" name="Note" tableColumnId="136"/>
      <queryTableField id="193" name="WorkflowID" tableColumnId="137"/>
      <queryTableField id="194" name="WorkflowDisplayID" tableColumnId="138"/>
      <queryTableField id="195" name="WorkflowStageID" tableColumnId="139"/>
      <queryTableField id="196" name="UserFieldValueID01" tableColumnId="140"/>
      <queryTableField id="197" name="UserFieldValueName01" tableColumnId="141"/>
      <queryTableField id="198" name="UserFieldValueID02" tableColumnId="142"/>
      <queryTableField id="199" name="UserFieldValueName02" tableColumnId="143"/>
      <queryTableField id="200" name="UserField03" tableColumnId="144"/>
      <queryTableField id="201" name="UserField04" tableColumnId="145"/>
      <queryTableField id="202" name="PXPostLogTransactionSK" tableColumnId="146"/>
      <queryTableField id="203" name="TransactionSource" tableColumnId="147"/>
      <queryTableField id="204" name="PXSiteSK" tableColumnId="148"/>
      <queryTableField id="205" name="SiteID" tableColumnId="149"/>
      <queryTableField id="206" name="OptimisticLockField" tableColumnId="150"/>
      <queryTableField id="207" name="ICShipment_HSK" tableColumnId="151"/>
      <queryTableField id="208" name="ICAdjustment_HSK" tableColumnId="152"/>
      <queryTableField id="209" name="BTItemSK" tableColumnId="153"/>
      <queryTableField id="210" name="ICFacilityProductionLineSK" tableColumnId="154"/>
      <queryTableField id="83" name="ProductionLineID" tableColumnId="84"/>
      <queryTableField id="211" name="ICProcessSK" tableColumnId="155"/>
      <queryTableField id="212" name="ProcessID" tableColumnId="156"/>
      <queryTableField id="213" name="ICProduction_HSK" tableColumnId="157"/>
      <queryTableField id="214" name="ICTransfer_HSK" tableColumnId="158"/>
      <queryTableField id="215" name="ICReceipt_HSK" tableColumnId="159"/>
      <queryTableField id="216" name="SubUnits" tableColumnId="160"/>
      <queryTableField id="217" name="TareWeight" tableColumnId="161"/>
      <queryTableField id="218" name="ICSplit_HSK" tableColumnId="162"/>
      <queryTableField id="219" name="DisplayValueConversionFactor" tableColumnId="163"/>
      <queryTableField id="220" name="DisplayUnits" tableColumnId="164"/>
      <queryTableField id="221" name="DisplaySubUnits" tableColumnId="165"/>
      <queryTableField id="222" name="DisplayFill" tableColumnId="166"/>
      <queryTableField id="223" name="DisplayNetWeight" tableColumnId="167"/>
      <queryTableField id="224" name="DisplayTareWeight" tableColumnId="168"/>
      <queryTableField id="225" name="BTEventLogSK" tableColumnId="169"/>
      <queryTableField id="226" name="BTEventSK" tableColumnId="170"/>
      <queryTableField id="227" name="BTItemSK2" tableColumnId="171"/>
      <queryTableField id="228" name="BeforeICFacilityLocationSK" tableColumnId="172"/>
      <queryTableField id="229" name="AfterICFacilityLocationSK" tableColumnId="173"/>
      <queryTableField id="230" name="CreatedBy" tableColumnId="174"/>
      <queryTableField id="231" name="CreatedDateTime2" tableColumnId="175"/>
      <queryTableField id="232" name="Source" tableColumnId="176"/>
      <queryTableField id="233" name="PXSiteSK2" tableColumnId="177"/>
      <queryTableField id="234" name="OptimisticLockField2" tableColumnId="178"/>
      <queryTableField id="235" name="EventLogID" tableColumnId="179"/>
      <queryTableField id="236" name="ICLotSK2" tableColumnId="180"/>
      <queryTableField id="237" name="ICTransaction_HSK2" tableColumnId="181"/>
      <queryTableField id="238" name="BeforeLocationID" tableColumnId="182"/>
      <queryTableField id="239" name="AfterLocationID" tableColumnId="183"/>
      <queryTableField id="240" name="BeforeParentBTItemSK" tableColumnId="184"/>
      <queryTableField id="241" name="AfterParentBTItemSK" tableColumnId="185"/>
      <queryTableField id="242" name="BeforeParentItemID" tableColumnId="186"/>
      <queryTableField id="243" name="AfterParentItemID" tableColumnId="187"/>
      <queryTableField id="244" name="BeforeICFacilitySK" tableColumnId="188"/>
      <queryTableField id="245" name="BeforeFacilityID" tableColumnId="189"/>
      <queryTableField id="246" name="AfterICFacilitySK" tableColumnId="190"/>
      <queryTableField id="247" name="AfterFacilityID" tableColumnId="19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79635-52D2-49DE-9435-C83976A4919C}" name="Table1" displayName="Table1" ref="A2:A3" totalsRowShown="0" dataDxfId="82">
  <autoFilter ref="A2:A3" xr:uid="{1C279635-52D2-49DE-9435-C83976A4919C}"/>
  <tableColumns count="1">
    <tableColumn id="1" xr3:uid="{F6F5A7DD-B4DE-4574-84B5-3A13AEEBFF0A}" name="Query" dataDxfId="81">
      <calculatedColumnFormula>"SELECT  
*
FROM dbo.ICTransaction_H  as a
join dbo.BTEventLog as b on a.ICTransaction_HSK = b.ICTransaction_HSK
WHERE ReferenceID = '"&amp;A6&amp;"'"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55FA6C-5B86-4EFA-8AB2-7AE559DC2A39}" name="Query1" displayName="Query1" ref="A9:CV10" tableType="queryTable" totalsRowShown="0">
  <autoFilter ref="A9:CV10" xr:uid="{6855FA6C-5B86-4EFA-8AB2-7AE559DC2A39}"/>
  <tableColumns count="100">
    <tableColumn id="24" xr3:uid="{56181FEA-61D6-46FA-9F49-B4C1D20AA151}" uniqueName="24" name="ICTransaction_HSK" queryTableFieldId="23" dataDxfId="80"/>
    <tableColumn id="99" xr3:uid="{94437DFF-DFB6-42BE-89B0-64041241817B}" uniqueName="99" name="TransactionID" queryTableFieldId="155"/>
    <tableColumn id="100" xr3:uid="{7917094E-6FBA-491C-B813-F110E1F8F5D8}" uniqueName="100" name="ICTransactionTypeSK" queryTableFieldId="156" dataDxfId="79"/>
    <tableColumn id="101" xr3:uid="{9322533E-87A5-4016-8015-71B29397209B}" uniqueName="101" name="TransactionDateTime" queryTableFieldId="157" dataDxfId="78"/>
    <tableColumn id="28" xr3:uid="{2CEB2B33-7D39-4F87-AE6A-BE77FBD0C0D1}" uniqueName="28" name="CreatedDateTime" queryTableFieldId="27" dataDxfId="77"/>
    <tableColumn id="29" xr3:uid="{99E1AE8D-4CBE-40B6-AD2F-661A12B9D6F8}" uniqueName="29" name="ReferenceID" queryTableFieldId="28" dataDxfId="76"/>
    <tableColumn id="102" xr3:uid="{E0C8DDC4-B2E4-4B93-B887-3C2D1D2356F4}" uniqueName="102" name="ICOwnerSK" queryTableFieldId="158" dataDxfId="75"/>
    <tableColumn id="103" xr3:uid="{F37EC51E-4B11-4A8F-9255-5F13A1EA967D}" uniqueName="103" name="OwnerID" queryTableFieldId="159" dataDxfId="74"/>
    <tableColumn id="104" xr3:uid="{3B761F6F-3CA1-47F6-8D5A-198A073C1224}" uniqueName="104" name="OwnerName" queryTableFieldId="160" dataDxfId="73"/>
    <tableColumn id="105" xr3:uid="{FA8D4D8B-72BF-4AF6-996A-F0D72B278C5C}" uniqueName="105" name="ICFacilitySK" queryTableFieldId="161" dataDxfId="72"/>
    <tableColumn id="106" xr3:uid="{1490A44A-74A8-4D48-854B-960B6B2DBCE2}" uniqueName="106" name="FacilityID" queryTableFieldId="162" dataDxfId="71"/>
    <tableColumn id="107" xr3:uid="{41D83C09-85A8-4815-A8E8-C67EDE6CE5E7}" uniqueName="107" name="FacilityName" queryTableFieldId="163" dataDxfId="70"/>
    <tableColumn id="108" xr3:uid="{953AF6F4-5D38-4CFC-8FC6-0B9B3F067632}" uniqueName="108" name="ICFacilityTypeSK" queryTableFieldId="164" dataDxfId="69"/>
    <tableColumn id="109" xr3:uid="{10867486-CA61-4E03-B959-8EB76B72CB2F}" uniqueName="109" name="ICLotSK" queryTableFieldId="165" dataDxfId="68"/>
    <tableColumn id="38" xr3:uid="{2B34275C-D742-470F-B534-D3954F00F3F4}" uniqueName="38" name="LotID" queryTableFieldId="37" dataDxfId="67"/>
    <tableColumn id="110" xr3:uid="{57FC06B7-FE3D-4ACF-A111-4D0C2A505FE4}" uniqueName="110" name="LotProductID" queryTableFieldId="166" dataDxfId="66"/>
    <tableColumn id="40" xr3:uid="{24950275-3BF7-4E47-97A4-FFA379A10070}" uniqueName="40" name="LotProductName01" queryTableFieldId="39" dataDxfId="65"/>
    <tableColumn id="111" xr3:uid="{FA1A223F-510A-4728-820D-F9D2BCE996EE}" uniqueName="111" name="LotFacilityID" queryTableFieldId="167" dataDxfId="64"/>
    <tableColumn id="112" xr3:uid="{BC6CD923-0284-4985-8921-93BDFED5B156}" uniqueName="112" name="LotFacilityName" queryTableFieldId="168" dataDxfId="63"/>
    <tableColumn id="113" xr3:uid="{E8FE676A-C8FE-4BDC-A89F-D41DEFFC1017}" uniqueName="113" name="LotICFacilityTypeSK" queryTableFieldId="169" dataDxfId="62"/>
    <tableColumn id="114" xr3:uid="{371175F4-4643-45F1-9265-FC789504F8A9}" uniqueName="114" name="LotAreaOfOriginID" queryTableFieldId="170" dataDxfId="61"/>
    <tableColumn id="115" xr3:uid="{4A85F1ED-55E7-41B4-A434-83F5FAD82D16}" uniqueName="115" name="LotCountryOfOriginID" queryTableFieldId="171" dataDxfId="60"/>
    <tableColumn id="116" xr3:uid="{EACE16E9-92AB-4EC7-B40A-CF83A5E2FA77}" uniqueName="116" name="LotProjectID" queryTableFieldId="172" dataDxfId="59"/>
    <tableColumn id="117" xr3:uid="{AB34F83D-15CC-4B89-8834-4B98F994CD03}" uniqueName="117" name="LotProjectTypeID" queryTableFieldId="173" dataDxfId="58"/>
    <tableColumn id="118" xr3:uid="{B49BBA63-3A1F-4AA1-9047-DD45D1573F9A}" uniqueName="118" name="LotProjectManagerID" queryTableFieldId="174" dataDxfId="57"/>
    <tableColumn id="119" xr3:uid="{23F3D6B0-353E-49B6-932B-BE383AC09B5D}" uniqueName="119" name="LotGradeID" queryTableFieldId="175" dataDxfId="56"/>
    <tableColumn id="120" xr3:uid="{DDF238CB-0208-4943-B5EF-75DC4A96DF7D}" uniqueName="120" name="LotCreatedDate" queryTableFieldId="176" dataDxfId="55"/>
    <tableColumn id="121" xr3:uid="{BC0BC308-4210-4180-B533-FC6B17914A6D}" uniqueName="121" name="LotBestBeforeDate" queryTableFieldId="177" dataDxfId="54"/>
    <tableColumn id="122" xr3:uid="{8055A4D1-7707-4F13-84F1-B230F1426BEE}" uniqueName="122" name="LotPullByDate" queryTableFieldId="178" dataDxfId="53"/>
    <tableColumn id="123" xr3:uid="{893F14A4-0717-49F5-8815-48A5C2A38979}" uniqueName="123" name="ICWorkOrderSK" queryTableFieldId="179" dataDxfId="52"/>
    <tableColumn id="124" xr3:uid="{0066DB0B-8F22-407C-A8B5-0A2CFE2F7BE5}" uniqueName="124" name="WorkOrderID" queryTableFieldId="180" dataDxfId="51"/>
    <tableColumn id="125" xr3:uid="{82BC2400-C897-467D-8888-9541CD9893A3}" uniqueName="125" name="ICAdjustmentReasonCodeSK" queryTableFieldId="181" dataDxfId="50"/>
    <tableColumn id="126" xr3:uid="{1012D3EE-03DB-4062-B80C-55AF701916FD}" uniqueName="126" name="AdjustmentReasonCodeID" queryTableFieldId="182" dataDxfId="49"/>
    <tableColumn id="127" xr3:uid="{5F6C956C-60CD-4189-BCC2-6750CCE108AF}" uniqueName="127" name="FormulaID" queryTableFieldId="183" dataDxfId="48"/>
    <tableColumn id="128" xr3:uid="{1D38EE08-D40B-4BEE-A5A0-343CFD0B24B1}" uniqueName="128" name="FormulaProcessID" queryTableFieldId="184" dataDxfId="47"/>
    <tableColumn id="129" xr3:uid="{7CF1EEE8-D48B-47FA-93A7-5AF4A463510C}" uniqueName="129" name="WarehouseReceiptID" queryTableFieldId="185" dataDxfId="46"/>
    <tableColumn id="130" xr3:uid="{760886E8-9EC5-46AF-B465-8A1F48478C3A}" uniqueName="130" name="EntityName" queryTableFieldId="186" dataDxfId="45"/>
    <tableColumn id="131" xr3:uid="{B9017E5B-A905-4C76-B027-2EF0BF03690F}" uniqueName="131" name="OrderID" queryTableFieldId="187" dataDxfId="44"/>
    <tableColumn id="132" xr3:uid="{F1D31F04-1C3F-42D4-B50F-E706B0609A4F}" uniqueName="132" name="Units" queryTableFieldId="188"/>
    <tableColumn id="63" xr3:uid="{FE6E6EDE-E8F0-4C2A-A92B-1ECA005C981C}" uniqueName="63" name="Fill" queryTableFieldId="62"/>
    <tableColumn id="133" xr3:uid="{4B1F707A-6CA0-4974-8A71-672EEF992874}" uniqueName="133" name="FillPerUnit" queryTableFieldId="189"/>
    <tableColumn id="134" xr3:uid="{CC88B64A-22C1-41E2-8340-4B169B751195}" uniqueName="134" name="NetWeightPerFill" queryTableFieldId="190"/>
    <tableColumn id="135" xr3:uid="{2E1CB21B-92B0-4725-80B0-4C557A54D434}" uniqueName="135" name="NetWeight" queryTableFieldId="191"/>
    <tableColumn id="136" xr3:uid="{033AA7CB-5164-4315-BE84-16E1B80A85CA}" uniqueName="136" name="Note" queryTableFieldId="192" dataDxfId="43"/>
    <tableColumn id="137" xr3:uid="{510F6064-9760-49E4-B243-02FE15A93962}" uniqueName="137" name="WorkflowID" queryTableFieldId="193" dataDxfId="42"/>
    <tableColumn id="138" xr3:uid="{C9C63A18-43FE-4919-BAB5-145706E8E676}" uniqueName="138" name="WorkflowDisplayID" queryTableFieldId="194" dataDxfId="41"/>
    <tableColumn id="139" xr3:uid="{F13369FF-195D-44F8-AFE4-596BCAE61003}" uniqueName="139" name="WorkflowStageID" queryTableFieldId="195" dataDxfId="40"/>
    <tableColumn id="140" xr3:uid="{5DFAA1EB-4B19-4CCE-9FA0-98CDDA0A6D15}" uniqueName="140" name="UserFieldValueID01" queryTableFieldId="196" dataDxfId="39"/>
    <tableColumn id="141" xr3:uid="{A7209897-BE3C-449D-988D-5CEEA21D3D30}" uniqueName="141" name="UserFieldValueName01" queryTableFieldId="197" dataDxfId="38"/>
    <tableColumn id="142" xr3:uid="{BC6894AB-2822-4CDA-90CF-8152337C707F}" uniqueName="142" name="UserFieldValueID02" queryTableFieldId="198" dataDxfId="37"/>
    <tableColumn id="143" xr3:uid="{A83C2D14-00A6-400D-A868-685EBD2264DD}" uniqueName="143" name="UserFieldValueName02" queryTableFieldId="199" dataDxfId="36"/>
    <tableColumn id="144" xr3:uid="{AC83D230-C52B-4A1C-A0BC-EDD49C89FB9E}" uniqueName="144" name="UserField03" queryTableFieldId="200" dataDxfId="35"/>
    <tableColumn id="145" xr3:uid="{4DAF5548-39F8-497D-B7A0-F0F8F3F04FE5}" uniqueName="145" name="UserField04" queryTableFieldId="201" dataDxfId="34"/>
    <tableColumn id="146" xr3:uid="{A4DD1596-C7DE-4637-8083-9D406E134223}" uniqueName="146" name="PXPostLogTransactionSK" queryTableFieldId="202" dataDxfId="33"/>
    <tableColumn id="147" xr3:uid="{2C360468-0554-4025-9846-612350CCC360}" uniqueName="147" name="TransactionSource" queryTableFieldId="203"/>
    <tableColumn id="148" xr3:uid="{6F0E4ED7-6F3B-4DA2-8B2A-E22F1A3E90A4}" uniqueName="148" name="PXSiteSK" queryTableFieldId="204" dataDxfId="32"/>
    <tableColumn id="149" xr3:uid="{96D8225D-74AF-4C11-A43F-1531877BFDD8}" uniqueName="149" name="SiteID" queryTableFieldId="205" dataDxfId="31"/>
    <tableColumn id="150" xr3:uid="{F6462167-AB5C-44BD-A08A-45101C6A74F2}" uniqueName="150" name="OptimisticLockField" queryTableFieldId="206"/>
    <tableColumn id="151" xr3:uid="{DA22B7D5-D09D-4C30-97B9-BA5DB9C5B6C0}" uniqueName="151" name="ICShipment_HSK" queryTableFieldId="207" dataDxfId="30"/>
    <tableColumn id="152" xr3:uid="{721DA0B9-98FA-4B98-B8C4-1EB8B960B545}" uniqueName="152" name="ICAdjustment_HSK" queryTableFieldId="208" dataDxfId="29"/>
    <tableColumn id="153" xr3:uid="{CC23BD19-9D2A-4050-9030-C46278B9E1EF}" uniqueName="153" name="BTItemSK" queryTableFieldId="209" dataDxfId="28"/>
    <tableColumn id="154" xr3:uid="{B74EBBE7-076E-485A-93DC-AD5F1BE2182C}" uniqueName="154" name="ICFacilityProductionLineSK" queryTableFieldId="210" dataDxfId="27"/>
    <tableColumn id="84" xr3:uid="{ED555101-2047-427E-80A7-55C32025EC53}" uniqueName="84" name="ProductionLineID" queryTableFieldId="83" dataDxfId="26"/>
    <tableColumn id="155" xr3:uid="{23CE1DD3-5738-408D-9D1E-8E89BD340120}" uniqueName="155" name="ICProcessSK" queryTableFieldId="211" dataDxfId="25"/>
    <tableColumn id="156" xr3:uid="{6BFCCCE2-3E41-4C54-93F1-5CEFF35CD344}" uniqueName="156" name="ProcessID" queryTableFieldId="212" dataDxfId="24"/>
    <tableColumn id="157" xr3:uid="{6F9D244E-495D-47C8-B728-3F4A2BAB3E73}" uniqueName="157" name="ICProduction_HSK" queryTableFieldId="213" dataDxfId="23"/>
    <tableColumn id="158" xr3:uid="{5C2D703B-D6FD-476A-87C0-42659FEA761C}" uniqueName="158" name="ICTransfer_HSK" queryTableFieldId="214" dataDxfId="22"/>
    <tableColumn id="159" xr3:uid="{275C96A9-72C4-4C71-A16B-776E9978B62A}" uniqueName="159" name="ICReceipt_HSK" queryTableFieldId="215" dataDxfId="21"/>
    <tableColumn id="160" xr3:uid="{7D8E2697-4D84-4790-9F1B-E1B0B29A8247}" uniqueName="160" name="SubUnits" queryTableFieldId="216"/>
    <tableColumn id="161" xr3:uid="{48161E39-0214-47F4-A66A-D8D71829CB58}" uniqueName="161" name="TareWeight" queryTableFieldId="217"/>
    <tableColumn id="162" xr3:uid="{312C07DE-E9D9-40E3-9FC4-FE1F907A689A}" uniqueName="162" name="ICSplit_HSK" queryTableFieldId="218" dataDxfId="20"/>
    <tableColumn id="163" xr3:uid="{13ECB910-2368-4044-8526-1EAF97E2A583}" uniqueName="163" name="DisplayValueConversionFactor" queryTableFieldId="219"/>
    <tableColumn id="164" xr3:uid="{B4DA4504-CEED-4BBD-8EA6-B16640E42D01}" uniqueName="164" name="DisplayUnits" queryTableFieldId="220"/>
    <tableColumn id="165" xr3:uid="{A2374677-754F-4C80-A1C9-BB59885F39DC}" uniqueName="165" name="DisplaySubUnits" queryTableFieldId="221"/>
    <tableColumn id="166" xr3:uid="{31C5C6B4-B3BD-482B-90A4-0E55FFEA29D8}" uniqueName="166" name="DisplayFill" queryTableFieldId="222"/>
    <tableColumn id="167" xr3:uid="{2F2A5CE2-F8CA-4BAA-8B8B-3636F06ACE18}" uniqueName="167" name="DisplayNetWeight" queryTableFieldId="223"/>
    <tableColumn id="168" xr3:uid="{71BBA32F-DC93-4CAB-A17F-9BF3541F2D7F}" uniqueName="168" name="DisplayTareWeight" queryTableFieldId="224"/>
    <tableColumn id="169" xr3:uid="{76353923-0301-45B4-B68F-2F72F9164EFF}" uniqueName="169" name="BTEventLogSK" queryTableFieldId="225" dataDxfId="19"/>
    <tableColumn id="170" xr3:uid="{7E63DAF4-5CD5-42DB-816B-36086DDEABE7}" uniqueName="170" name="BTEventSK" queryTableFieldId="226" dataDxfId="18"/>
    <tableColumn id="171" xr3:uid="{6A32D8E0-008B-4C29-ADA8-90243AB86B81}" uniqueName="171" name="BTItemSK2" queryTableFieldId="227" dataDxfId="17"/>
    <tableColumn id="172" xr3:uid="{9CC55078-FDD5-4769-98D8-C5472E88FEAE}" uniqueName="172" name="BeforeICFacilityLocationSK" queryTableFieldId="228" dataDxfId="16"/>
    <tableColumn id="173" xr3:uid="{C7A2205E-FB81-436C-85AF-328F1305D630}" uniqueName="173" name="AfterICFacilityLocationSK" queryTableFieldId="229" dataDxfId="15"/>
    <tableColumn id="174" xr3:uid="{6B7227D3-13A7-4D78-B282-CB6F7845A970}" uniqueName="174" name="CreatedBy" queryTableFieldId="230" dataDxfId="14"/>
    <tableColumn id="175" xr3:uid="{218C1858-3A6C-4A80-A265-2FC65C157D48}" uniqueName="175" name="CreatedDateTime2" queryTableFieldId="231" dataDxfId="13"/>
    <tableColumn id="176" xr3:uid="{1D3FB16D-61A4-4740-95BB-7AE23633EE82}" uniqueName="176" name="Source" queryTableFieldId="232"/>
    <tableColumn id="177" xr3:uid="{5A61606F-ED5E-4C89-8AA4-AE5D4522BA90}" uniqueName="177" name="PXSiteSK2" queryTableFieldId="233" dataDxfId="12"/>
    <tableColumn id="178" xr3:uid="{65F54233-49C7-487E-B474-B4C51297DE98}" uniqueName="178" name="OptimisticLockField2" queryTableFieldId="234"/>
    <tableColumn id="179" xr3:uid="{ECDA3FF1-6155-4D77-B07E-AFE6203BCF5F}" uniqueName="179" name="EventLogID" queryTableFieldId="235"/>
    <tableColumn id="180" xr3:uid="{78058B9C-D6D2-4B75-8A69-23B3A3C01798}" uniqueName="180" name="ICLotSK2" queryTableFieldId="236" dataDxfId="11"/>
    <tableColumn id="181" xr3:uid="{BCEB03A6-41E7-40FE-8AB5-C29DCDC9D69C}" uniqueName="181" name="ICTransaction_HSK2" queryTableFieldId="237" dataDxfId="10"/>
    <tableColumn id="182" xr3:uid="{E5911318-64A8-464F-A1C7-54275E87D782}" uniqueName="182" name="BeforeLocationID" queryTableFieldId="238" dataDxfId="9"/>
    <tableColumn id="183" xr3:uid="{275ECA22-6C2F-4094-AFCC-F526158AFAFC}" uniqueName="183" name="AfterLocationID" queryTableFieldId="239" dataDxfId="8"/>
    <tableColumn id="184" xr3:uid="{9268B690-2D4E-4B67-94C6-55955B43CCF5}" uniqueName="184" name="BeforeParentBTItemSK" queryTableFieldId="240" dataDxfId="7"/>
    <tableColumn id="185" xr3:uid="{207EBC3D-36DF-48E8-9D0C-1A55559D8D2C}" uniqueName="185" name="AfterParentBTItemSK" queryTableFieldId="241" dataDxfId="6"/>
    <tableColumn id="186" xr3:uid="{AB7D206D-FD26-4CB0-A841-6263C44EB911}" uniqueName="186" name="BeforeParentItemID" queryTableFieldId="242" dataDxfId="5"/>
    <tableColumn id="187" xr3:uid="{B0B55118-740D-470A-8A50-9AD0E72E8B66}" uniqueName="187" name="AfterParentItemID" queryTableFieldId="243" dataDxfId="4"/>
    <tableColumn id="188" xr3:uid="{E4D904F0-EE0D-44AF-8BF1-98F064F94B88}" uniqueName="188" name="BeforeICFacilitySK" queryTableFieldId="244" dataDxfId="3"/>
    <tableColumn id="189" xr3:uid="{D2CF8ABD-7144-4784-9146-01EB7DCB3C80}" uniqueName="189" name="BeforeFacilityID" queryTableFieldId="245" dataDxfId="2"/>
    <tableColumn id="190" xr3:uid="{5CF4D44C-75FD-44AF-9750-DEBEB1119960}" uniqueName="190" name="AfterICFacilitySK" queryTableFieldId="246" dataDxfId="1"/>
    <tableColumn id="191" xr3:uid="{B0ED5455-02A9-4C25-86FD-256205D33336}" uniqueName="191" name="AfterFacilityID" queryTableFieldId="24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V10"/>
  <sheetViews>
    <sheetView tabSelected="1" workbookViewId="0">
      <selection activeCell="A3" sqref="A3"/>
    </sheetView>
  </sheetViews>
  <sheetFormatPr defaultRowHeight="14.4" x14ac:dyDescent="0.3"/>
  <cols>
    <col min="1" max="1" width="131.88671875" customWidth="1"/>
    <col min="2" max="2" width="15.44140625" bestFit="1" customWidth="1"/>
    <col min="3" max="3" width="36.88671875" bestFit="1" customWidth="1"/>
    <col min="4" max="4" width="22.33203125" bestFit="1" customWidth="1"/>
    <col min="5" max="5" width="19" bestFit="1" customWidth="1"/>
    <col min="6" max="6" width="14.33203125" bestFit="1" customWidth="1"/>
    <col min="7" max="7" width="37" bestFit="1" customWidth="1"/>
    <col min="8" max="9" width="19.5546875" bestFit="1" customWidth="1"/>
    <col min="10" max="10" width="37" bestFit="1" customWidth="1"/>
    <col min="11" max="11" width="11.44140625" bestFit="1" customWidth="1"/>
    <col min="12" max="12" width="14.88671875" bestFit="1" customWidth="1"/>
    <col min="13" max="13" width="36.88671875" bestFit="1" customWidth="1"/>
    <col min="14" max="14" width="36.5546875" bestFit="1" customWidth="1"/>
    <col min="15" max="15" width="27.88671875" bestFit="1" customWidth="1"/>
    <col min="16" max="16" width="14.6640625" bestFit="1" customWidth="1"/>
    <col min="17" max="17" width="20.44140625" bestFit="1" customWidth="1"/>
    <col min="18" max="18" width="14.109375" bestFit="1" customWidth="1"/>
    <col min="19" max="19" width="17.6640625" bestFit="1" customWidth="1"/>
    <col min="20" max="20" width="36.88671875" bestFit="1" customWidth="1"/>
    <col min="21" max="21" width="19.88671875" bestFit="1" customWidth="1"/>
    <col min="22" max="22" width="22.6640625" bestFit="1" customWidth="1"/>
    <col min="23" max="23" width="14.109375" bestFit="1" customWidth="1"/>
    <col min="24" max="24" width="18.5546875" bestFit="1" customWidth="1"/>
    <col min="25" max="25" width="22.33203125" bestFit="1" customWidth="1"/>
    <col min="26" max="26" width="13.33203125" bestFit="1" customWidth="1"/>
    <col min="27" max="27" width="17.33203125" bestFit="1" customWidth="1"/>
    <col min="28" max="28" width="20.33203125" bestFit="1" customWidth="1"/>
    <col min="29" max="29" width="15.88671875" bestFit="1" customWidth="1"/>
    <col min="30" max="30" width="17.33203125" bestFit="1" customWidth="1"/>
    <col min="31" max="31" width="15.109375" bestFit="1" customWidth="1"/>
    <col min="32" max="32" width="29.109375" bestFit="1" customWidth="1"/>
    <col min="33" max="33" width="27" bestFit="1" customWidth="1"/>
    <col min="34" max="34" width="12.44140625" bestFit="1" customWidth="1"/>
    <col min="35" max="35" width="19.33203125" bestFit="1" customWidth="1"/>
    <col min="36" max="36" width="22.44140625" bestFit="1" customWidth="1"/>
    <col min="37" max="37" width="13.6640625" bestFit="1" customWidth="1"/>
    <col min="38" max="38" width="10.33203125" bestFit="1" customWidth="1"/>
    <col min="39" max="39" width="8" bestFit="1" customWidth="1"/>
    <col min="40" max="40" width="6" bestFit="1" customWidth="1"/>
    <col min="41" max="41" width="12.88671875" bestFit="1" customWidth="1"/>
    <col min="42" max="42" width="19" bestFit="1" customWidth="1"/>
    <col min="43" max="43" width="13.109375" bestFit="1" customWidth="1"/>
    <col min="44" max="44" width="7.6640625" bestFit="1" customWidth="1"/>
    <col min="45" max="45" width="14" bestFit="1" customWidth="1"/>
    <col min="46" max="46" width="20.6640625" bestFit="1" customWidth="1"/>
    <col min="47" max="47" width="19" bestFit="1" customWidth="1"/>
    <col min="48" max="48" width="21.109375" bestFit="1" customWidth="1"/>
    <col min="49" max="49" width="24.6640625" bestFit="1" customWidth="1"/>
    <col min="50" max="50" width="21.109375" bestFit="1" customWidth="1"/>
    <col min="51" max="51" width="24.6640625" bestFit="1" customWidth="1"/>
    <col min="52" max="53" width="13.88671875" bestFit="1" customWidth="1"/>
    <col min="54" max="54" width="25.109375" bestFit="1" customWidth="1"/>
    <col min="55" max="55" width="19.6640625" bestFit="1" customWidth="1"/>
    <col min="56" max="56" width="36.88671875" bestFit="1" customWidth="1"/>
    <col min="57" max="57" width="10.88671875" bestFit="1" customWidth="1"/>
    <col min="58" max="58" width="21" bestFit="1" customWidth="1"/>
    <col min="59" max="59" width="18.109375" bestFit="1" customWidth="1"/>
    <col min="60" max="60" width="20.109375" bestFit="1" customWidth="1"/>
    <col min="61" max="61" width="11.6640625" bestFit="1" customWidth="1"/>
    <col min="62" max="62" width="37.109375" bestFit="1" customWidth="1"/>
    <col min="63" max="63" width="18.6640625" bestFit="1" customWidth="1"/>
    <col min="64" max="64" width="13.88671875" bestFit="1" customWidth="1"/>
    <col min="65" max="65" width="11.88671875" bestFit="1" customWidth="1"/>
    <col min="66" max="66" width="36.6640625" bestFit="1" customWidth="1"/>
    <col min="67" max="67" width="16.88671875" bestFit="1" customWidth="1"/>
    <col min="68" max="68" width="16.33203125" bestFit="1" customWidth="1"/>
    <col min="69" max="69" width="11.33203125" bestFit="1" customWidth="1"/>
    <col min="70" max="70" width="13.6640625" bestFit="1" customWidth="1"/>
    <col min="71" max="71" width="13.44140625" bestFit="1" customWidth="1"/>
    <col min="72" max="72" width="30.88671875" bestFit="1" customWidth="1"/>
    <col min="73" max="73" width="14.44140625" bestFit="1" customWidth="1"/>
    <col min="74" max="74" width="17.88671875" bestFit="1" customWidth="1"/>
    <col min="75" max="75" width="12.44140625" bestFit="1" customWidth="1"/>
    <col min="76" max="76" width="19.88671875" bestFit="1" customWidth="1"/>
    <col min="77" max="77" width="20.44140625" bestFit="1" customWidth="1"/>
    <col min="78" max="78" width="36.44140625" bestFit="1" customWidth="1"/>
    <col min="79" max="79" width="36.88671875" bestFit="1" customWidth="1"/>
    <col min="80" max="80" width="36.109375" bestFit="1" customWidth="1"/>
    <col min="81" max="82" width="37.109375" bestFit="1" customWidth="1"/>
    <col min="83" max="83" width="12.44140625" bestFit="1" customWidth="1"/>
    <col min="84" max="84" width="20.109375" bestFit="1" customWidth="1"/>
    <col min="85" max="85" width="9.33203125" bestFit="1" customWidth="1"/>
    <col min="86" max="86" width="36.88671875" bestFit="1" customWidth="1"/>
    <col min="87" max="87" width="22" bestFit="1" customWidth="1"/>
    <col min="88" max="88" width="13.109375" bestFit="1" customWidth="1"/>
    <col min="89" max="89" width="36.5546875" bestFit="1" customWidth="1"/>
    <col min="90" max="90" width="36.44140625" bestFit="1" customWidth="1"/>
    <col min="91" max="91" width="18.6640625" bestFit="1" customWidth="1"/>
    <col min="92" max="92" width="17.33203125" bestFit="1" customWidth="1"/>
    <col min="93" max="93" width="24" bestFit="1" customWidth="1"/>
    <col min="94" max="94" width="22.44140625" bestFit="1" customWidth="1"/>
    <col min="95" max="95" width="21.44140625" bestFit="1" customWidth="1"/>
    <col min="96" max="96" width="20" bestFit="1" customWidth="1"/>
    <col min="97" max="97" width="37" bestFit="1" customWidth="1"/>
    <col min="98" max="98" width="17.5546875" bestFit="1" customWidth="1"/>
    <col min="99" max="99" width="37" bestFit="1" customWidth="1"/>
    <col min="100" max="100" width="16.109375" bestFit="1" customWidth="1"/>
    <col min="101" max="102" width="19.5546875" bestFit="1" customWidth="1"/>
    <col min="103" max="103" width="37" bestFit="1" customWidth="1"/>
    <col min="104" max="104" width="11.44140625" bestFit="1" customWidth="1"/>
    <col min="105" max="105" width="14.88671875" bestFit="1" customWidth="1"/>
    <col min="106" max="106" width="36.88671875" bestFit="1" customWidth="1"/>
    <col min="107" max="107" width="36.5546875" bestFit="1" customWidth="1"/>
    <col min="108" max="108" width="28.33203125" bestFit="1" customWidth="1"/>
    <col min="109" max="109" width="14.6640625" bestFit="1" customWidth="1"/>
    <col min="110" max="110" width="28.33203125" bestFit="1" customWidth="1"/>
    <col min="111" max="111" width="14.109375" bestFit="1" customWidth="1"/>
    <col min="112" max="112" width="17.6640625" bestFit="1" customWidth="1"/>
    <col min="113" max="113" width="36.88671875" bestFit="1" customWidth="1"/>
    <col min="114" max="114" width="19.88671875" bestFit="1" customWidth="1"/>
    <col min="115" max="115" width="22.6640625" bestFit="1" customWidth="1"/>
    <col min="116" max="116" width="14.109375" bestFit="1" customWidth="1"/>
    <col min="117" max="117" width="18.5546875" bestFit="1" customWidth="1"/>
    <col min="118" max="118" width="22.33203125" bestFit="1" customWidth="1"/>
    <col min="119" max="119" width="13.33203125" bestFit="1" customWidth="1"/>
    <col min="120" max="120" width="17.33203125" bestFit="1" customWidth="1"/>
    <col min="121" max="121" width="20.33203125" bestFit="1" customWidth="1"/>
    <col min="122" max="122" width="15.88671875" bestFit="1" customWidth="1"/>
    <col min="123" max="123" width="17.33203125" bestFit="1" customWidth="1"/>
    <col min="124" max="124" width="15.109375" bestFit="1" customWidth="1"/>
    <col min="125" max="125" width="29.109375" bestFit="1" customWidth="1"/>
    <col min="126" max="126" width="27" bestFit="1" customWidth="1"/>
    <col min="127" max="127" width="12.44140625" bestFit="1" customWidth="1"/>
    <col min="128" max="128" width="19.33203125" bestFit="1" customWidth="1"/>
    <col min="129" max="129" width="22.44140625" bestFit="1" customWidth="1"/>
    <col min="130" max="130" width="13.6640625" bestFit="1" customWidth="1"/>
    <col min="131" max="131" width="10.33203125" bestFit="1" customWidth="1"/>
    <col min="132" max="132" width="8" bestFit="1" customWidth="1"/>
    <col min="133" max="133" width="6" bestFit="1" customWidth="1"/>
    <col min="134" max="134" width="12.88671875" bestFit="1" customWidth="1"/>
    <col min="135" max="135" width="19" bestFit="1" customWidth="1"/>
    <col min="136" max="136" width="13.109375" bestFit="1" customWidth="1"/>
    <col min="137" max="137" width="7.6640625" bestFit="1" customWidth="1"/>
    <col min="138" max="138" width="14" bestFit="1" customWidth="1"/>
    <col min="139" max="139" width="20.6640625" bestFit="1" customWidth="1"/>
    <col min="140" max="140" width="19" bestFit="1" customWidth="1"/>
    <col min="141" max="141" width="21.109375" bestFit="1" customWidth="1"/>
    <col min="142" max="142" width="24.6640625" bestFit="1" customWidth="1"/>
    <col min="143" max="143" width="21.109375" bestFit="1" customWidth="1"/>
    <col min="144" max="144" width="24.6640625" bestFit="1" customWidth="1"/>
    <col min="145" max="146" width="13.88671875" bestFit="1" customWidth="1"/>
    <col min="147" max="147" width="25.109375" bestFit="1" customWidth="1"/>
    <col min="148" max="148" width="19.6640625" bestFit="1" customWidth="1"/>
    <col min="149" max="149" width="36.88671875" bestFit="1" customWidth="1"/>
    <col min="150" max="150" width="10.88671875" bestFit="1" customWidth="1"/>
    <col min="151" max="151" width="21" bestFit="1" customWidth="1"/>
    <col min="152" max="152" width="18.109375" bestFit="1" customWidth="1"/>
    <col min="153" max="153" width="20.109375" bestFit="1" customWidth="1"/>
    <col min="154" max="154" width="11.6640625" bestFit="1" customWidth="1"/>
    <col min="155" max="155" width="37.109375" bestFit="1" customWidth="1"/>
    <col min="156" max="156" width="18.6640625" bestFit="1" customWidth="1"/>
    <col min="157" max="157" width="13.88671875" bestFit="1" customWidth="1"/>
    <col min="158" max="158" width="11.88671875" bestFit="1" customWidth="1"/>
    <col min="159" max="159" width="37.44140625" bestFit="1" customWidth="1"/>
    <col min="160" max="160" width="16.88671875" bestFit="1" customWidth="1"/>
    <col min="161" max="161" width="16.33203125" bestFit="1" customWidth="1"/>
    <col min="162" max="162" width="11.33203125" bestFit="1" customWidth="1"/>
    <col min="163" max="163" width="13.6640625" bestFit="1" customWidth="1"/>
    <col min="164" max="164" width="13.44140625" bestFit="1" customWidth="1"/>
    <col min="165" max="165" width="30.88671875" bestFit="1" customWidth="1"/>
    <col min="166" max="166" width="14.44140625" bestFit="1" customWidth="1"/>
    <col min="167" max="167" width="17.88671875" bestFit="1" customWidth="1"/>
    <col min="168" max="168" width="12.44140625" bestFit="1" customWidth="1"/>
    <col min="169" max="169" width="19.88671875" bestFit="1" customWidth="1"/>
    <col min="170" max="170" width="20.44140625" bestFit="1" customWidth="1"/>
    <col min="171" max="171" width="38.5546875" bestFit="1" customWidth="1"/>
    <col min="172" max="172" width="28.44140625" bestFit="1" customWidth="1"/>
    <col min="173" max="173" width="35.109375" bestFit="1" customWidth="1"/>
    <col min="174" max="174" width="24.5546875" bestFit="1" customWidth="1"/>
    <col min="175" max="175" width="36.88671875" bestFit="1" customWidth="1"/>
    <col min="176" max="176" width="10.33203125" bestFit="1" customWidth="1"/>
    <col min="177" max="177" width="21" bestFit="1" customWidth="1"/>
    <col min="178" max="178" width="16.6640625" bestFit="1" customWidth="1"/>
    <col min="179" max="179" width="38.88671875" bestFit="1" customWidth="1"/>
    <col min="180" max="180" width="36.88671875" bestFit="1" customWidth="1"/>
    <col min="181" max="181" width="18.33203125" bestFit="1" customWidth="1"/>
    <col min="182" max="182" width="24.5546875" bestFit="1" customWidth="1"/>
    <col min="183" max="183" width="30.88671875" bestFit="1" customWidth="1"/>
    <col min="184" max="184" width="12.6640625" bestFit="1" customWidth="1"/>
    <col min="185" max="185" width="29.109375" bestFit="1" customWidth="1"/>
    <col min="186" max="186" width="18.33203125" bestFit="1" customWidth="1"/>
    <col min="187" max="187" width="22" bestFit="1" customWidth="1"/>
    <col min="188" max="188" width="28.6640625" bestFit="1" customWidth="1"/>
    <col min="189" max="189" width="31.6640625" bestFit="1" customWidth="1"/>
    <col min="190" max="190" width="34.44140625" bestFit="1" customWidth="1"/>
  </cols>
  <sheetData>
    <row r="2" spans="1:100" x14ac:dyDescent="0.3">
      <c r="A2" t="s">
        <v>0</v>
      </c>
    </row>
    <row r="3" spans="1:100" ht="128.25" customHeight="1" x14ac:dyDescent="0.3">
      <c r="A3" s="4" t="str">
        <f>"SELECT  
*
FROM dbo.ICTransaction_H  as a
join dbo.BTEventLog as b on a.ICTransaction_HSK = b.ICTransaction_HSK
WHERE ReferenceID = '"&amp;A6&amp;"'"</f>
        <v>SELECT  
*
FROM dbo.ICTransaction_H  as a
join dbo.BTEventLog as b on a.ICTransaction_HSK = b.ICTransaction_HSK
WHERE ReferenceID = '000001138085'</v>
      </c>
    </row>
    <row r="4" spans="1:100" ht="15" thickBot="1" x14ac:dyDescent="0.35"/>
    <row r="5" spans="1:100" x14ac:dyDescent="0.3">
      <c r="A5" s="2" t="s">
        <v>1</v>
      </c>
    </row>
    <row r="6" spans="1:100" ht="15" thickBot="1" x14ac:dyDescent="0.35">
      <c r="A6" s="3" t="s">
        <v>119</v>
      </c>
    </row>
    <row r="7" spans="1:100" x14ac:dyDescent="0.3">
      <c r="A7" s="5"/>
    </row>
    <row r="8" spans="1:100" x14ac:dyDescent="0.3">
      <c r="A8" t="s">
        <v>89</v>
      </c>
    </row>
    <row r="9" spans="1:100" x14ac:dyDescent="0.3">
      <c r="A9" t="s">
        <v>6</v>
      </c>
      <c r="B9" t="s">
        <v>7</v>
      </c>
      <c r="C9" t="s">
        <v>8</v>
      </c>
      <c r="D9" t="s">
        <v>9</v>
      </c>
      <c r="E9" t="s">
        <v>10</v>
      </c>
      <c r="F9" t="s">
        <v>11</v>
      </c>
      <c r="G9" t="s">
        <v>12</v>
      </c>
      <c r="H9" t="s">
        <v>13</v>
      </c>
      <c r="I9" t="s">
        <v>14</v>
      </c>
      <c r="J9" t="s">
        <v>15</v>
      </c>
      <c r="K9" t="s">
        <v>16</v>
      </c>
      <c r="L9" t="s">
        <v>17</v>
      </c>
      <c r="M9" t="s">
        <v>18</v>
      </c>
      <c r="N9" t="s">
        <v>19</v>
      </c>
      <c r="O9" t="s">
        <v>20</v>
      </c>
      <c r="P9" t="s">
        <v>21</v>
      </c>
      <c r="Q9" t="s">
        <v>22</v>
      </c>
      <c r="R9" t="s">
        <v>23</v>
      </c>
      <c r="S9" t="s">
        <v>24</v>
      </c>
      <c r="T9" t="s">
        <v>25</v>
      </c>
      <c r="U9" t="s">
        <v>26</v>
      </c>
      <c r="V9" t="s">
        <v>27</v>
      </c>
      <c r="W9" t="s">
        <v>28</v>
      </c>
      <c r="X9" t="s">
        <v>29</v>
      </c>
      <c r="Y9" t="s">
        <v>30</v>
      </c>
      <c r="Z9" t="s">
        <v>31</v>
      </c>
      <c r="AA9" t="s">
        <v>32</v>
      </c>
      <c r="AB9" t="s">
        <v>33</v>
      </c>
      <c r="AC9" t="s">
        <v>34</v>
      </c>
      <c r="AD9" t="s">
        <v>35</v>
      </c>
      <c r="AE9" t="s">
        <v>36</v>
      </c>
      <c r="AF9" t="s">
        <v>37</v>
      </c>
      <c r="AG9" t="s">
        <v>38</v>
      </c>
      <c r="AH9" t="s">
        <v>39</v>
      </c>
      <c r="AI9" t="s">
        <v>40</v>
      </c>
      <c r="AJ9" t="s">
        <v>41</v>
      </c>
      <c r="AK9" t="s">
        <v>42</v>
      </c>
      <c r="AL9" t="s">
        <v>43</v>
      </c>
      <c r="AM9" t="s">
        <v>44</v>
      </c>
      <c r="AN9" t="s">
        <v>45</v>
      </c>
      <c r="AO9" t="s">
        <v>46</v>
      </c>
      <c r="AP9" t="s">
        <v>47</v>
      </c>
      <c r="AQ9" t="s">
        <v>48</v>
      </c>
      <c r="AR9" t="s">
        <v>49</v>
      </c>
      <c r="AS9" t="s">
        <v>50</v>
      </c>
      <c r="AT9" t="s">
        <v>51</v>
      </c>
      <c r="AU9" t="s">
        <v>52</v>
      </c>
      <c r="AV9" t="s">
        <v>53</v>
      </c>
      <c r="AW9" t="s">
        <v>54</v>
      </c>
      <c r="AX9" t="s">
        <v>55</v>
      </c>
      <c r="AY9" t="s">
        <v>56</v>
      </c>
      <c r="AZ9" t="s">
        <v>57</v>
      </c>
      <c r="BA9" t="s">
        <v>58</v>
      </c>
      <c r="BB9" t="s">
        <v>59</v>
      </c>
      <c r="BC9" t="s">
        <v>60</v>
      </c>
      <c r="BD9" t="s">
        <v>2</v>
      </c>
      <c r="BE9" t="s">
        <v>61</v>
      </c>
      <c r="BF9" t="s">
        <v>3</v>
      </c>
      <c r="BG9" t="s">
        <v>62</v>
      </c>
      <c r="BH9" t="s">
        <v>63</v>
      </c>
      <c r="BI9" t="s">
        <v>64</v>
      </c>
      <c r="BJ9" t="s">
        <v>65</v>
      </c>
      <c r="BK9" t="s">
        <v>66</v>
      </c>
      <c r="BL9" t="s">
        <v>67</v>
      </c>
      <c r="BM9" t="s">
        <v>68</v>
      </c>
      <c r="BN9" t="s">
        <v>69</v>
      </c>
      <c r="BO9" t="s">
        <v>70</v>
      </c>
      <c r="BP9" t="s">
        <v>71</v>
      </c>
      <c r="BQ9" t="s">
        <v>72</v>
      </c>
      <c r="BR9" t="s">
        <v>73</v>
      </c>
      <c r="BS9" t="s">
        <v>74</v>
      </c>
      <c r="BT9" t="s">
        <v>75</v>
      </c>
      <c r="BU9" t="s">
        <v>76</v>
      </c>
      <c r="BV9" t="s">
        <v>77</v>
      </c>
      <c r="BW9" t="s">
        <v>78</v>
      </c>
      <c r="BX9" t="s">
        <v>79</v>
      </c>
      <c r="BY9" t="s">
        <v>80</v>
      </c>
      <c r="BZ9" t="s">
        <v>90</v>
      </c>
      <c r="CA9" t="s">
        <v>91</v>
      </c>
      <c r="CB9" t="s">
        <v>92</v>
      </c>
      <c r="CC9" t="s">
        <v>93</v>
      </c>
      <c r="CD9" t="s">
        <v>94</v>
      </c>
      <c r="CE9" t="s">
        <v>95</v>
      </c>
      <c r="CF9" t="s">
        <v>96</v>
      </c>
      <c r="CG9" t="s">
        <v>97</v>
      </c>
      <c r="CH9" t="s">
        <v>98</v>
      </c>
      <c r="CI9" t="s">
        <v>99</v>
      </c>
      <c r="CJ9" t="s">
        <v>100</v>
      </c>
      <c r="CK9" t="s">
        <v>101</v>
      </c>
      <c r="CL9" t="s">
        <v>102</v>
      </c>
      <c r="CM9" t="s">
        <v>103</v>
      </c>
      <c r="CN9" t="s">
        <v>104</v>
      </c>
      <c r="CO9" t="s">
        <v>105</v>
      </c>
      <c r="CP9" t="s">
        <v>106</v>
      </c>
      <c r="CQ9" t="s">
        <v>107</v>
      </c>
      <c r="CR9" t="s">
        <v>108</v>
      </c>
      <c r="CS9" t="s">
        <v>109</v>
      </c>
      <c r="CT9" t="s">
        <v>110</v>
      </c>
      <c r="CU9" t="s">
        <v>111</v>
      </c>
      <c r="CV9" t="s">
        <v>112</v>
      </c>
    </row>
    <row r="10" spans="1:100" x14ac:dyDescent="0.3">
      <c r="A10" t="s">
        <v>120</v>
      </c>
      <c r="B10">
        <v>3704647</v>
      </c>
      <c r="C10" t="s">
        <v>88</v>
      </c>
      <c r="D10" s="1">
        <v>45814.275639201391</v>
      </c>
      <c r="E10" s="1">
        <v>45814.275639201391</v>
      </c>
      <c r="F10" t="s">
        <v>119</v>
      </c>
      <c r="G10" t="s">
        <v>81</v>
      </c>
      <c r="H10" t="s">
        <v>82</v>
      </c>
      <c r="I10" t="s">
        <v>82</v>
      </c>
      <c r="J10" t="s">
        <v>83</v>
      </c>
      <c r="K10" t="s">
        <v>84</v>
      </c>
      <c r="L10" t="s">
        <v>85</v>
      </c>
      <c r="M10" t="s">
        <v>5</v>
      </c>
      <c r="N10" t="s">
        <v>121</v>
      </c>
      <c r="O10" t="s">
        <v>122</v>
      </c>
      <c r="P10" t="s">
        <v>123</v>
      </c>
      <c r="Q10" t="s">
        <v>124</v>
      </c>
      <c r="R10" t="s">
        <v>84</v>
      </c>
      <c r="S10" t="s">
        <v>85</v>
      </c>
      <c r="T10" t="s">
        <v>5</v>
      </c>
      <c r="AA10" s="1">
        <v>45814.275639085645</v>
      </c>
      <c r="AB10" s="1"/>
      <c r="AC10" s="1"/>
      <c r="AM10">
        <v>1</v>
      </c>
      <c r="AN10">
        <v>1059</v>
      </c>
      <c r="AO10">
        <v>1059</v>
      </c>
      <c r="AP10">
        <v>1</v>
      </c>
      <c r="AQ10">
        <v>1059</v>
      </c>
      <c r="AS10" t="s">
        <v>86</v>
      </c>
      <c r="AT10" t="s">
        <v>113</v>
      </c>
      <c r="AU10" t="s">
        <v>113</v>
      </c>
      <c r="BC10">
        <v>3</v>
      </c>
      <c r="BD10" t="s">
        <v>4</v>
      </c>
      <c r="BE10" t="s">
        <v>87</v>
      </c>
      <c r="BJ10" t="s">
        <v>115</v>
      </c>
      <c r="BK10" t="s">
        <v>116</v>
      </c>
      <c r="BN10" t="s">
        <v>125</v>
      </c>
      <c r="BQ10">
        <v>1</v>
      </c>
      <c r="BR10">
        <v>185</v>
      </c>
      <c r="BT10">
        <v>1</v>
      </c>
      <c r="BU10">
        <v>1</v>
      </c>
      <c r="BV10">
        <v>1</v>
      </c>
      <c r="BW10">
        <v>1059</v>
      </c>
      <c r="BX10">
        <v>1059</v>
      </c>
      <c r="BY10">
        <v>185</v>
      </c>
      <c r="BZ10" t="s">
        <v>126</v>
      </c>
      <c r="CA10" t="s">
        <v>114</v>
      </c>
      <c r="CB10" t="s">
        <v>127</v>
      </c>
      <c r="CC10" t="s">
        <v>117</v>
      </c>
      <c r="CD10" t="s">
        <v>117</v>
      </c>
      <c r="CE10" t="s">
        <v>128</v>
      </c>
      <c r="CF10" s="1">
        <v>45814.275639085645</v>
      </c>
      <c r="CG10">
        <v>2</v>
      </c>
      <c r="CH10" t="s">
        <v>4</v>
      </c>
      <c r="CJ10">
        <v>6836486</v>
      </c>
      <c r="CK10" t="s">
        <v>121</v>
      </c>
      <c r="CL10" t="s">
        <v>120</v>
      </c>
      <c r="CM10" t="s">
        <v>118</v>
      </c>
      <c r="CN10" t="s">
        <v>118</v>
      </c>
      <c r="CS10" t="s">
        <v>83</v>
      </c>
      <c r="CT10" t="s">
        <v>84</v>
      </c>
      <c r="CU10" t="s">
        <v>83</v>
      </c>
      <c r="CV10" t="s">
        <v>84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AC61BF-85C4-4EC1-9423-A266C9A2AB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dcterms:created xsi:type="dcterms:W3CDTF">2015-06-05T18:17:20Z</dcterms:created>
  <dcterms:modified xsi:type="dcterms:W3CDTF">2025-07-28T11:56:21Z</dcterms:modified>
</cp:coreProperties>
</file>