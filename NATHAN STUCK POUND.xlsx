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8C65B82F-14DD-4E19-9861-D0EA08FAB8A7}" xr6:coauthVersionLast="47" xr6:coauthVersionMax="47" xr10:uidLastSave="{00000000-0000-0000-0000-000000000000}"/>
  <bookViews>
    <workbookView xWindow="13860" yWindow="-16485" windowWidth="29040" windowHeight="15720" tabRatio="856" xr2:uid="{5DBC2EC0-8670-434F-A82B-FFAEEBB98336}"/>
  </bookViews>
  <sheets>
    <sheet name="StuckPounds" sheetId="5" r:id="rId1"/>
  </sheets>
  <externalReferences>
    <externalReference r:id="rId2"/>
  </externalReferences>
  <definedNames>
    <definedName name="DvListSource1">[1]Sheet2!$S$1:$S$2</definedName>
    <definedName name="ExternalData_1" localSheetId="0" hidden="1">StuckPounds!$A$2:$G$13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ckPounds_2d501b5a-88de-4e6f-a37f-85f2df373763" name="StuckPounds" connection="Query - StuckPound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E14" i="5"/>
  <c r="F1" i="5" l="1"/>
  <c r="I13" i="5" a="1"/>
  <c r="I13" i="5" s="1"/>
  <c r="J23" i="5"/>
  <c r="K20" i="5" l="1"/>
  <c r="J20" i="5"/>
  <c r="K21" i="5"/>
  <c r="J21" i="5"/>
  <c r="K13" i="5"/>
  <c r="J13" i="5"/>
  <c r="K19" i="5" s="1"/>
  <c r="K18" i="5" s="1"/>
  <c r="K17" i="5" s="1"/>
  <c r="J16" i="5" s="1"/>
  <c r="K15" i="5" s="1"/>
  <c r="K14" i="5" s="1"/>
  <c r="J15" i="5" l="1"/>
  <c r="J18" i="5"/>
  <c r="J19" i="5"/>
  <c r="K16" i="5"/>
  <c r="J17" i="5"/>
  <c r="J1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B74B3-70C0-482C-AE28-1C46F52FDC4F}" keepAlive="1" name="ModelConnection_ExternalData_1" description="Data Model" type="5" refreshedVersion="8" minRefreshableVersion="5" saveData="1">
    <dbPr connection="Data Model Connection" command="StuckPound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CEDC1C4-252A-4D50-982F-97857ACB91CD}" interval="10" name="Query - StuckPounds" description="Connection to the 'StuckPounds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a758719b-1d17-4f57-ad9f-fa6d8d5bedc2"/>
      </ext>
    </extLst>
  </connection>
  <connection id="3" xr16:uid="{CFFA5B81-656F-478D-B11A-8ABEB8FA5E7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<sst xmlns="http://schemas.openxmlformats.org/spreadsheetml/2006/main" count="56" uniqueCount="42">
  <si>
    <t>Middle Room "Stuck Pounds" (no move in over 5 days)</t>
  </si>
  <si>
    <t>UpdatedBy</t>
  </si>
  <si>
    <t>ItemID</t>
  </si>
  <si>
    <t>UpdatedDateTime</t>
  </si>
  <si>
    <t>UpdateAge</t>
  </si>
  <si>
    <t>InventoryNetWeight</t>
  </si>
  <si>
    <t>ProdDescription</t>
  </si>
  <si>
    <t>LocationID</t>
  </si>
  <si>
    <t>Areas</t>
  </si>
  <si>
    <t>Bin Count</t>
  </si>
  <si>
    <t>Poundage</t>
  </si>
  <si>
    <t>2Z locations</t>
  </si>
  <si>
    <t>2ESM2</t>
  </si>
  <si>
    <t>Mle</t>
  </si>
  <si>
    <t>2ESM1</t>
  </si>
  <si>
    <t>2LMC</t>
  </si>
  <si>
    <t>Bperez</t>
  </si>
  <si>
    <t>2BLOW</t>
  </si>
  <si>
    <t>Chernandez</t>
  </si>
  <si>
    <t>6K12</t>
  </si>
  <si>
    <t>Vynguyen</t>
  </si>
  <si>
    <t>6C12</t>
  </si>
  <si>
    <t>BLOWER RESIZE</t>
  </si>
  <si>
    <t>Djohnson</t>
  </si>
  <si>
    <t>FANCY 16-24</t>
  </si>
  <si>
    <t>Aperez</t>
  </si>
  <si>
    <t>000001249760</t>
  </si>
  <si>
    <t>STANDARD PECAN HALVES</t>
  </si>
  <si>
    <t>000001253176</t>
  </si>
  <si>
    <t>000001253309</t>
  </si>
  <si>
    <t>000001253418</t>
  </si>
  <si>
    <t>000001253545</t>
  </si>
  <si>
    <t>PECAN BIRD SEED-MID</t>
  </si>
  <si>
    <t>000001253580</t>
  </si>
  <si>
    <t>8C12 A</t>
  </si>
  <si>
    <t>000001254175</t>
  </si>
  <si>
    <t>000001254940</t>
  </si>
  <si>
    <t>Jcruz</t>
  </si>
  <si>
    <t>000001249518</t>
  </si>
  <si>
    <t>2WP</t>
  </si>
  <si>
    <t>000001249507</t>
  </si>
  <si>
    <t>000001255230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</si>
</sst>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164" fontId="3" fillId="3" borderId="0" xfId="0" applyNumberFormat="1" applyFont="1" applyFill="1"/>
    <xf numFmtId="22" fontId="2" fillId="0" borderId="0" xfId="0" applyNumberFormat="1" applyFont="1" applyAlignment="1">
      <alignment horizontal="right" vertical="center"/>
    </xf>
    <xf numFmtId="165" fontId="3" fillId="3" borderId="0" xfId="0" applyNumberFormat="1" applyFont="1" applyFill="1"/>
    <xf numFmtId="0" fontId="4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2" xfId="1" applyNumberFormat="1" applyFont="1" applyBorder="1"/>
    <xf numFmtId="0" fontId="0" fillId="0" borderId="7" xfId="0" applyBorder="1"/>
    <xf numFmtId="164" fontId="0" fillId="0" borderId="7" xfId="1" applyNumberFormat="1" applyFont="1" applyBorder="1"/>
  </cellXfs>
  <cellStyles count="2">
    <cellStyle name="Comma" xfId="1" builtinId="3"/>
    <cellStyle name="Normal" xfId="0" builtinId="0"/>
  </cellStyles>
  <dxfs count="9">
    <dxf>
      <numFmt numFmtId="27" formatCode="m/d/yyyy\ h:mm"/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(* #,##0.0_);_(* \(#,##0.0\);_(* &quot;-&quot;??_);_(@_)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gapecancompany-my.sharepoint.com/Users/NATHAN~1.SMI/AppData/Local/Temp/Inventory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2"/>
    </sheetNames>
    <sheetDataSet>
      <sheetData sheetId="0" refreshError="1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EEBA5DC-B8FE-48F8-A744-0544642486AA}" autoFormatId="16" applyNumberFormats="0" applyBorderFormats="0" applyFontFormats="0" applyPatternFormats="0" applyAlignmentFormats="0" applyWidthHeightFormats="0">
  <queryTableRefresh nextId="14">
    <queryTableFields count="7">
      <queryTableField id="2" name="UpdatedBy" tableColumnId="2"/>
      <queryTableField id="3" name="ItemID" tableColumnId="3"/>
      <queryTableField id="6" name="UpdatedDateTime" tableColumnId="6"/>
      <queryTableField id="7" name="UpdateAge" tableColumnId="7"/>
      <queryTableField id="8" name="InventoryNetWeight" tableColumnId="8"/>
      <queryTableField id="10" name="ProdDescription" tableColumnId="10"/>
      <queryTableField id="11" name="LocationID" tableColumnId="11"/>
    </queryTableFields>
  </queryTableRefresh>
  <extLst>
    <ext xmlns:x15="http://schemas.microsoft.com/office/spreadsheetml/2010/11/main" uri="{883FBD77-0823-4a55-B5E3-86C4891E6966}">
      <x15:queryTable sourceDataName="Query - StuckPound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5F7E9-46DF-4FFF-B7AB-E7E16F6960CC}" name="StuckPounds_2" displayName="StuckPounds_2" ref="A2:G14" tableType="queryTable" totalsRowCount="1">
  <autoFilter ref="A2:G13" xr:uid="{AA95F7E9-46DF-4FFF-B7AB-E7E16F6960CC}">
    <filterColumn colId="5">
      <filters>
        <filter val="12C16 R"/>
        <filter val="12K16"/>
        <filter val="16-20 (Sm/Med Pieces)"/>
        <filter val="16-20 R"/>
        <filter val="16-24 R"/>
        <filter val="20-24 CHO"/>
        <filter val="20-24 R"/>
        <filter val="6C12 R"/>
        <filter val="6K12"/>
        <filter val="DARK MEAL"/>
        <filter val="EP FCY LRG PCN PCS"/>
        <filter val="EP FCY XTRA LRG PCN PCS"/>
        <filter val="FANCY 12C16 POLYLINE"/>
        <filter val="FANCY 13 HVS"/>
        <filter val="FANCY 16-20 POLYLINE"/>
        <filter val="FANCY 6K12"/>
        <filter val="LIGHT MEAL"/>
        <filter val="P-32"/>
        <filter val="RESIZE"/>
        <filter val="STANDARD PECAN HALVES"/>
      </filters>
    </filterColumn>
  </autoFilter>
  <sortState xmlns:xlrd2="http://schemas.microsoft.com/office/spreadsheetml/2017/richdata2" ref="A3:G13">
    <sortCondition ref="G2:G13"/>
  </sortState>
  <tableColumns count="7">
    <tableColumn id="2" xr3:uid="{69272F19-EF48-4FC5-B757-CAD674372F21}" uniqueName="2" name="UpdatedBy" queryTableFieldId="2" dataDxfId="8"/>
    <tableColumn id="3" xr3:uid="{EBA5DB6A-9F39-4A73-A0C0-F2F11D0970DF}" uniqueName="3" name="ItemID" queryTableFieldId="3" dataDxfId="7"/>
    <tableColumn id="6" xr3:uid="{25304CAF-782D-409D-B54E-19EBE99FC0C0}" uniqueName="6" name="UpdatedDateTime" queryTableFieldId="6" dataDxfId="0"/>
    <tableColumn id="7" xr3:uid="{41EACBAD-7878-4865-A3D4-B6D319465D3B}" uniqueName="7" name="UpdateAge" totalsRowFunction="average" queryTableFieldId="7" totalsRowDxfId="3"/>
    <tableColumn id="8" xr3:uid="{00500733-5F35-4BCD-B22E-EF0C4B5AABDE}" uniqueName="8" name="InventoryNetWeight" totalsRowFunction="sum" queryTableFieldId="8" totalsRowDxfId="4"/>
    <tableColumn id="10" xr3:uid="{137F83C0-5C2A-429B-AEC0-D8D1CFD3AA55}" uniqueName="10" name="ProdDescription" queryTableFieldId="10" dataDxfId="6"/>
    <tableColumn id="11" xr3:uid="{71DA8A8B-E896-4375-A7E8-85682322DE56}" uniqueName="11" name="LocationID" queryTableFieldId="1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443E-4D9C-40C2-B186-EFE3AB08FB69}">
  <sheetPr>
    <pageSetUpPr fitToPage="1"/>
  </sheetPr>
  <dimension ref="A1:L96"/>
  <sheetViews>
    <sheetView tabSelected="1" zoomScale="85" zoomScaleNormal="85" workbookViewId="0">
      <selection activeCell="F22" sqref="F22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9.85546875" bestFit="1" customWidth="1"/>
    <col min="4" max="4" width="13.28515625" bestFit="1" customWidth="1"/>
    <col min="5" max="5" width="22" bestFit="1" customWidth="1"/>
    <col min="6" max="6" width="24.7109375" bestFit="1" customWidth="1"/>
    <col min="7" max="7" width="12.5703125" bestFit="1" customWidth="1"/>
    <col min="8" max="8" width="6.42578125" customWidth="1"/>
    <col min="9" max="9" width="15.140625" customWidth="1"/>
    <col min="10" max="10" width="9" customWidth="1"/>
    <col min="11" max="11" width="14.28515625" style="12" customWidth="1"/>
    <col min="12" max="12" width="8.28515625" customWidth="1"/>
    <col min="13" max="13" width="20.7109375" bestFit="1" customWidth="1"/>
  </cols>
  <sheetData>
    <row r="1" spans="1:12" ht="46.5" customHeight="1" x14ac:dyDescent="0.25">
      <c r="A1" s="7" t="s">
        <v>0</v>
      </c>
      <c r="F1" s="5">
        <f ca="1">NOW()</f>
        <v>46048.68003935185</v>
      </c>
      <c r="L1" s="3"/>
    </row>
    <row r="2" spans="1:12" x14ac:dyDescent="0.25">
      <c r="A2" t="s">
        <v>1</v>
      </c>
      <c r="B2" t="s">
        <v>2</v>
      </c>
      <c r="C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12" x14ac:dyDescent="0.25">
      <c r="A3" t="s">
        <v>16</v>
      </c>
      <c r="B3" t="s">
        <v>30</v>
      </c>
      <c r="C3" s="1">
        <v>46040.866160108024</v>
      </c>
      <c r="D3">
        <v>7.8</v>
      </c>
      <c r="E3">
        <v>914</v>
      </c>
      <c r="F3" t="s">
        <v>19</v>
      </c>
      <c r="G3" t="s">
        <v>17</v>
      </c>
    </row>
    <row r="4" spans="1:12" hidden="1" x14ac:dyDescent="0.25">
      <c r="A4" t="s">
        <v>18</v>
      </c>
      <c r="B4" t="s">
        <v>41</v>
      </c>
      <c r="C4" s="1">
        <v>46043.462706404323</v>
      </c>
      <c r="D4">
        <v>5.2</v>
      </c>
      <c r="E4">
        <v>1057</v>
      </c>
      <c r="F4" t="s">
        <v>21</v>
      </c>
      <c r="G4" t="s">
        <v>17</v>
      </c>
    </row>
    <row r="5" spans="1:12" hidden="1" x14ac:dyDescent="0.25">
      <c r="A5" t="s">
        <v>20</v>
      </c>
      <c r="B5" t="s">
        <v>31</v>
      </c>
      <c r="C5" s="1">
        <v>46041.259269945986</v>
      </c>
      <c r="D5">
        <v>7.4</v>
      </c>
      <c r="E5">
        <v>377</v>
      </c>
      <c r="F5" t="s">
        <v>32</v>
      </c>
      <c r="G5" t="s">
        <v>14</v>
      </c>
    </row>
    <row r="6" spans="1:12" x14ac:dyDescent="0.25">
      <c r="A6" t="s">
        <v>23</v>
      </c>
      <c r="B6" t="s">
        <v>29</v>
      </c>
      <c r="C6" s="1">
        <v>46040.552290316358</v>
      </c>
      <c r="D6">
        <v>8.1</v>
      </c>
      <c r="E6">
        <v>860</v>
      </c>
      <c r="F6" t="s">
        <v>19</v>
      </c>
      <c r="G6" t="s">
        <v>12</v>
      </c>
    </row>
    <row r="7" spans="1:12" hidden="1" x14ac:dyDescent="0.25">
      <c r="A7" t="s">
        <v>23</v>
      </c>
      <c r="B7" t="s">
        <v>33</v>
      </c>
      <c r="C7" s="1">
        <v>46041.321972183643</v>
      </c>
      <c r="D7">
        <v>7.4</v>
      </c>
      <c r="E7">
        <v>848</v>
      </c>
      <c r="F7" t="s">
        <v>34</v>
      </c>
      <c r="G7" t="s">
        <v>12</v>
      </c>
    </row>
    <row r="8" spans="1:12" x14ac:dyDescent="0.25">
      <c r="A8" t="s">
        <v>25</v>
      </c>
      <c r="B8" t="s">
        <v>26</v>
      </c>
      <c r="C8" s="1">
        <v>46034.853870833336</v>
      </c>
      <c r="D8">
        <v>13.8</v>
      </c>
      <c r="E8">
        <v>1327</v>
      </c>
      <c r="F8" t="s">
        <v>27</v>
      </c>
      <c r="G8" t="s">
        <v>15</v>
      </c>
    </row>
    <row r="9" spans="1:12" hidden="1" x14ac:dyDescent="0.25">
      <c r="A9" t="s">
        <v>13</v>
      </c>
      <c r="B9" t="s">
        <v>28</v>
      </c>
      <c r="C9" s="1">
        <v>46040.209014004628</v>
      </c>
      <c r="D9">
        <v>8.5</v>
      </c>
      <c r="E9">
        <v>763</v>
      </c>
      <c r="F9" t="s">
        <v>22</v>
      </c>
      <c r="G9" t="s">
        <v>15</v>
      </c>
    </row>
    <row r="10" spans="1:12" hidden="1" x14ac:dyDescent="0.25">
      <c r="A10" t="s">
        <v>13</v>
      </c>
      <c r="B10" t="s">
        <v>35</v>
      </c>
      <c r="C10" s="1">
        <v>46042.235233487656</v>
      </c>
      <c r="D10">
        <v>6.4</v>
      </c>
      <c r="E10">
        <v>795</v>
      </c>
      <c r="F10" t="s">
        <v>22</v>
      </c>
      <c r="G10" t="s">
        <v>15</v>
      </c>
    </row>
    <row r="11" spans="1:12" hidden="1" x14ac:dyDescent="0.25">
      <c r="A11" t="s">
        <v>13</v>
      </c>
      <c r="B11" t="s">
        <v>36</v>
      </c>
      <c r="C11" s="1">
        <v>46043.215874035493</v>
      </c>
      <c r="D11">
        <v>5.5</v>
      </c>
      <c r="E11">
        <v>757</v>
      </c>
      <c r="F11" t="s">
        <v>22</v>
      </c>
      <c r="G11" t="s">
        <v>15</v>
      </c>
    </row>
    <row r="12" spans="1:12" hidden="1" x14ac:dyDescent="0.25">
      <c r="A12" t="s">
        <v>37</v>
      </c>
      <c r="B12" t="s">
        <v>38</v>
      </c>
      <c r="C12" s="1">
        <v>46043.398257947534</v>
      </c>
      <c r="D12">
        <v>5.3</v>
      </c>
      <c r="E12">
        <v>1800</v>
      </c>
      <c r="F12" t="s">
        <v>24</v>
      </c>
      <c r="G12" t="s">
        <v>39</v>
      </c>
      <c r="I12" s="15" t="s">
        <v>8</v>
      </c>
      <c r="J12" s="15" t="s">
        <v>9</v>
      </c>
      <c r="K12" s="16" t="s">
        <v>10</v>
      </c>
    </row>
    <row r="13" spans="1:12" hidden="1" x14ac:dyDescent="0.25">
      <c r="A13" t="s">
        <v>37</v>
      </c>
      <c r="B13" t="s">
        <v>40</v>
      </c>
      <c r="C13" s="1">
        <v>46043.397475385806</v>
      </c>
      <c r="D13">
        <v>5.3</v>
      </c>
      <c r="E13">
        <v>1800</v>
      </c>
      <c r="F13" t="s">
        <v>24</v>
      </c>
      <c r="G13" t="s">
        <v>39</v>
      </c>
      <c r="I13" s="15" t="str" cm="1">
        <f t="array" ref="I13:I17">_xlfn.UNIQUE(StuckPounds_2[LocationID])</f>
        <v>2BLOW</v>
      </c>
      <c r="J13" s="15">
        <f>COUNTIF(StuckPounds_2[LocationID],I13)</f>
        <v>2</v>
      </c>
      <c r="K13" s="16">
        <f>SUMIF(StuckPounds_2[LocationID],I13,StuckPounds_2[InventoryNetWeight])</f>
        <v>1971</v>
      </c>
    </row>
    <row r="14" spans="1:12" ht="18.75" x14ac:dyDescent="0.3">
      <c r="D14" s="6">
        <f>SUBTOTAL(101,StuckPounds_2[UpdateAge])</f>
        <v>9.9</v>
      </c>
      <c r="E14" s="4">
        <f>SUBTOTAL(109,StuckPounds_2[InventoryNetWeight])</f>
        <v>3101</v>
      </c>
      <c r="I14" s="15" t="str">
        <v>2ESM1</v>
      </c>
      <c r="J14" s="15">
        <f>COUNTIF(StuckPounds_2[LocationID],I14)</f>
        <v>1</v>
      </c>
      <c r="K14" s="16">
        <f>SUMIF(StuckPounds_2[LocationID],I14,StuckPounds_2[InventoryNetWeight])</f>
        <v>377</v>
      </c>
    </row>
    <row r="15" spans="1:12" x14ac:dyDescent="0.25">
      <c r="I15" s="15" t="str">
        <v>2ESM2</v>
      </c>
      <c r="J15" s="15">
        <f>COUNTIF(StuckPounds_2[LocationID],I15)</f>
        <v>2</v>
      </c>
      <c r="K15" s="16">
        <f>SUMIF(StuckPounds_2[LocationID],I15,StuckPounds_2[InventoryNetWeight])</f>
        <v>1708</v>
      </c>
    </row>
    <row r="16" spans="1:12" x14ac:dyDescent="0.25">
      <c r="I16" s="15" t="str">
        <v>2LMC</v>
      </c>
      <c r="J16" s="15">
        <f>COUNTIF(StuckPounds_2[LocationID],I16)</f>
        <v>4</v>
      </c>
      <c r="K16" s="16">
        <f>SUMIF(StuckPounds_2[LocationID],I16,StuckPounds_2[InventoryNetWeight])</f>
        <v>3642</v>
      </c>
    </row>
    <row r="17" spans="5:11" x14ac:dyDescent="0.25">
      <c r="I17" s="15" t="str">
        <v>2WP</v>
      </c>
      <c r="J17" s="15">
        <f>COUNTIF(StuckPounds_2[LocationID],I17)</f>
        <v>2</v>
      </c>
      <c r="K17" s="16">
        <f>SUMIF(StuckPounds_2[LocationID],I17,StuckPounds_2[InventoryNetWeight])</f>
        <v>3600</v>
      </c>
    </row>
    <row r="18" spans="5:11" x14ac:dyDescent="0.25">
      <c r="E18" s="12"/>
      <c r="I18" s="15"/>
      <c r="J18" s="15">
        <f>COUNTIF(StuckPounds_2[LocationID],I18)</f>
        <v>0</v>
      </c>
      <c r="K18" s="16">
        <f>SUMIF(StuckPounds_2[LocationID],I18,StuckPounds_2[InventoryNetWeight])</f>
        <v>0</v>
      </c>
    </row>
    <row r="19" spans="5:11" x14ac:dyDescent="0.25">
      <c r="E19" s="12"/>
      <c r="I19" s="15"/>
      <c r="J19" s="15">
        <f>COUNTIF(StuckPounds_2[LocationID],I19)</f>
        <v>0</v>
      </c>
      <c r="K19" s="16">
        <f>SUMIF(StuckPounds_2[LocationID],I19,StuckPounds_2[InventoryNetWeight])</f>
        <v>0</v>
      </c>
    </row>
    <row r="20" spans="5:11" x14ac:dyDescent="0.25">
      <c r="E20" s="12"/>
      <c r="I20" s="15"/>
      <c r="J20" s="15">
        <f>COUNTIF(StuckPounds_2[LocationID],I20)</f>
        <v>0</v>
      </c>
      <c r="K20" s="16">
        <f>SUMIF(StuckPounds_2[LocationID],I20,StuckPounds_2[InventoryNetWeight])</f>
        <v>0</v>
      </c>
    </row>
    <row r="21" spans="5:11" x14ac:dyDescent="0.25">
      <c r="E21" s="12"/>
      <c r="I21" s="15"/>
      <c r="J21" s="15">
        <f>COUNTIF(StuckPounds_2[LocationID],I21)</f>
        <v>0</v>
      </c>
      <c r="K21" s="16">
        <f>SUMIF(StuckPounds_2[LocationID],I21,StuckPounds_2[InventoryNetWeight])</f>
        <v>0</v>
      </c>
    </row>
    <row r="22" spans="5:11" x14ac:dyDescent="0.25">
      <c r="E22" s="12"/>
      <c r="I22" s="8"/>
      <c r="J22" s="10"/>
      <c r="K22" s="13"/>
    </row>
    <row r="23" spans="5:11" x14ac:dyDescent="0.25">
      <c r="E23" s="12"/>
      <c r="I23" s="8" t="s">
        <v>11</v>
      </c>
      <c r="J23" s="10">
        <f>COUNTIF(StuckPounds_2[LocationID],"2Z*")</f>
        <v>0</v>
      </c>
      <c r="K23" s="13"/>
    </row>
    <row r="24" spans="5:11" ht="15.75" thickBot="1" x14ac:dyDescent="0.3">
      <c r="E24" s="12"/>
      <c r="I24" s="9"/>
      <c r="J24" s="11"/>
      <c r="K24" s="14"/>
    </row>
    <row r="25" spans="5:11" x14ac:dyDescent="0.25">
      <c r="E25" s="12"/>
    </row>
    <row r="26" spans="5:11" x14ac:dyDescent="0.25">
      <c r="E26" s="12"/>
    </row>
    <row r="27" spans="5:11" x14ac:dyDescent="0.25">
      <c r="E27" s="12"/>
    </row>
    <row r="28" spans="5:11" x14ac:dyDescent="0.25">
      <c r="E28" s="12"/>
    </row>
    <row r="29" spans="5:11" x14ac:dyDescent="0.25">
      <c r="E29" s="12"/>
    </row>
    <row r="30" spans="5:11" x14ac:dyDescent="0.25">
      <c r="E30" s="12"/>
    </row>
    <row r="31" spans="5:11" x14ac:dyDescent="0.25">
      <c r="E31" s="12"/>
    </row>
    <row r="32" spans="5:11" x14ac:dyDescent="0.25">
      <c r="E32" s="12"/>
    </row>
    <row r="33" spans="5:5" x14ac:dyDescent="0.25">
      <c r="E33" s="12"/>
    </row>
    <row r="34" spans="5:5" x14ac:dyDescent="0.25">
      <c r="E34" s="12"/>
    </row>
    <row r="35" spans="5:5" x14ac:dyDescent="0.25">
      <c r="E35" s="12"/>
    </row>
    <row r="36" spans="5:5" x14ac:dyDescent="0.25">
      <c r="E36" s="12"/>
    </row>
    <row r="37" spans="5:5" x14ac:dyDescent="0.25">
      <c r="E37" s="12"/>
    </row>
    <row r="38" spans="5:5" x14ac:dyDescent="0.25">
      <c r="E38" s="12"/>
    </row>
    <row r="39" spans="5:5" x14ac:dyDescent="0.25">
      <c r="E39" s="12"/>
    </row>
    <row r="40" spans="5:5" x14ac:dyDescent="0.25">
      <c r="E40" s="12"/>
    </row>
    <row r="41" spans="5:5" x14ac:dyDescent="0.25">
      <c r="E41" s="12"/>
    </row>
    <row r="42" spans="5:5" x14ac:dyDescent="0.25">
      <c r="E42" s="12"/>
    </row>
    <row r="43" spans="5:5" x14ac:dyDescent="0.25">
      <c r="E43" s="12"/>
    </row>
    <row r="44" spans="5:5" x14ac:dyDescent="0.25">
      <c r="E44" s="12"/>
    </row>
    <row r="45" spans="5:5" x14ac:dyDescent="0.25">
      <c r="E45" s="12"/>
    </row>
    <row r="46" spans="5:5" x14ac:dyDescent="0.25">
      <c r="E46" s="12"/>
    </row>
    <row r="47" spans="5:5" x14ac:dyDescent="0.25">
      <c r="E47" s="12"/>
    </row>
    <row r="48" spans="5:5" x14ac:dyDescent="0.25">
      <c r="E48" s="12"/>
    </row>
    <row r="49" spans="5:11" x14ac:dyDescent="0.25">
      <c r="E49" s="12"/>
    </row>
    <row r="50" spans="5:11" x14ac:dyDescent="0.25">
      <c r="E50" s="12"/>
    </row>
    <row r="51" spans="5:11" x14ac:dyDescent="0.25">
      <c r="E51" s="12"/>
    </row>
    <row r="52" spans="5:11" x14ac:dyDescent="0.25">
      <c r="E52" s="12"/>
    </row>
    <row r="53" spans="5:11" x14ac:dyDescent="0.25">
      <c r="E53" s="12"/>
    </row>
    <row r="54" spans="5:11" x14ac:dyDescent="0.25">
      <c r="E54" s="12"/>
    </row>
    <row r="55" spans="5:11" x14ac:dyDescent="0.25">
      <c r="E55" s="12"/>
    </row>
    <row r="56" spans="5:11" x14ac:dyDescent="0.25">
      <c r="E56" s="12"/>
      <c r="K56"/>
    </row>
    <row r="57" spans="5:11" x14ac:dyDescent="0.25">
      <c r="E57" s="12"/>
      <c r="K57"/>
    </row>
    <row r="58" spans="5:11" x14ac:dyDescent="0.25">
      <c r="E58" s="12"/>
      <c r="K58"/>
    </row>
    <row r="59" spans="5:11" x14ac:dyDescent="0.25">
      <c r="K59"/>
    </row>
    <row r="60" spans="5:11" x14ac:dyDescent="0.25">
      <c r="K60"/>
    </row>
    <row r="61" spans="5:11" x14ac:dyDescent="0.25">
      <c r="K61"/>
    </row>
    <row r="62" spans="5:11" x14ac:dyDescent="0.25">
      <c r="K62"/>
    </row>
    <row r="63" spans="5:11" x14ac:dyDescent="0.25">
      <c r="K63"/>
    </row>
    <row r="64" spans="5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</sheetData>
  <phoneticPr fontId="5" type="noConversion"/>
  <conditionalFormatting sqref="D3:D13">
    <cfRule type="cellIs" dxfId="2" priority="1" operator="lessThanOrEqual">
      <formula>15</formula>
    </cfRule>
    <cfRule type="cellIs" dxfId="1" priority="2" operator="greaterThanOrEqual">
      <formula>15.1</formula>
    </cfRule>
  </conditionalFormatting>
  <pageMargins left="0.25" right="0.25" top="0.75" bottom="0.75" header="0.3" footer="0.3"/>
  <pageSetup scale="83" orientation="landscape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20F99-4B89-4B7A-A220-8A5B9DD8E3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StuckPounds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Smith</dc:creator>
  <cp:keywords/>
  <dc:description/>
  <cp:lastModifiedBy>Richard Le</cp:lastModifiedBy>
  <cp:revision/>
  <cp:lastPrinted>2025-12-05T12:45:42Z</cp:lastPrinted>
  <dcterms:created xsi:type="dcterms:W3CDTF">2022-02-08T14:38:32Z</dcterms:created>
  <dcterms:modified xsi:type="dcterms:W3CDTF">2026-01-26T21:22:04Z</dcterms:modified>
  <cp:category/>
  <cp:contentStatus/>
</cp:coreProperties>
</file>