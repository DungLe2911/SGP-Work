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le\Desktop\"/>
    </mc:Choice>
  </mc:AlternateContent>
  <xr:revisionPtr revIDLastSave="0" documentId="13_ncr:1_{8A6B5DF3-456E-4A7F-9EB5-E041BD974037}" xr6:coauthVersionLast="47" xr6:coauthVersionMax="47" xr10:uidLastSave="{00000000-0000-0000-0000-000000000000}"/>
  <bookViews>
    <workbookView xWindow="-28920" yWindow="8865" windowWidth="29040" windowHeight="16440" activeTab="1" xr2:uid="{00000000-000D-0000-FFFF-FFFF00000000}"/>
  </bookViews>
  <sheets>
    <sheet name="Sheet2" sheetId="2" r:id="rId1"/>
    <sheet name="STUCK_POUND" sheetId="6" r:id="rId2"/>
  </sheets>
  <definedNames>
    <definedName name="_xlcn.WorksheetConnection_MiddleRoomCurrentInventory.xlsxBVW_BTItemLot1" hidden="1">BVW_BTItemLot[]</definedName>
    <definedName name="ExternalData_1" localSheetId="0" hidden="1">Sheet2!$A$1:$AV$105</definedName>
  </definedName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VW_BTItemLot" name="BVW_BTItemLot" connection="WorksheetConnection_Middle Room Current Inventory.xlsx!BVW_BTItemLo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K44" i="2"/>
  <c r="K60" i="2"/>
  <c r="K76" i="2"/>
  <c r="L2" i="2"/>
  <c r="K2" i="2" s="1"/>
  <c r="L3" i="2"/>
  <c r="K3" i="2" s="1"/>
  <c r="L4" i="2"/>
  <c r="K4" i="2" s="1"/>
  <c r="L5" i="2"/>
  <c r="K5" i="2" s="1"/>
  <c r="L6" i="2"/>
  <c r="K6" i="2" s="1"/>
  <c r="L7" i="2"/>
  <c r="K7" i="2" s="1"/>
  <c r="L8" i="2"/>
  <c r="K8" i="2" s="1"/>
  <c r="L9" i="2"/>
  <c r="K9" i="2" s="1"/>
  <c r="L10" i="2"/>
  <c r="K10" i="2" s="1"/>
  <c r="L11" i="2"/>
  <c r="K11" i="2" s="1"/>
  <c r="L12" i="2"/>
  <c r="K12" i="2" s="1"/>
  <c r="L13" i="2"/>
  <c r="K13" i="2" s="1"/>
  <c r="L14" i="2"/>
  <c r="K14" i="2" s="1"/>
  <c r="L15" i="2"/>
  <c r="K15" i="2" s="1"/>
  <c r="L16" i="2"/>
  <c r="K16" i="2" s="1"/>
  <c r="L17" i="2"/>
  <c r="K17" i="2" s="1"/>
  <c r="L18" i="2"/>
  <c r="K18" i="2" s="1"/>
  <c r="L19" i="2"/>
  <c r="K19" i="2" s="1"/>
  <c r="L20" i="2"/>
  <c r="K20" i="2" s="1"/>
  <c r="L21" i="2"/>
  <c r="K21" i="2" s="1"/>
  <c r="L22" i="2"/>
  <c r="K22" i="2" s="1"/>
  <c r="L23" i="2"/>
  <c r="K23" i="2" s="1"/>
  <c r="L24" i="2"/>
  <c r="K24" i="2" s="1"/>
  <c r="L25" i="2"/>
  <c r="K25" i="2" s="1"/>
  <c r="L26" i="2"/>
  <c r="K26" i="2" s="1"/>
  <c r="L27" i="2"/>
  <c r="K27" i="2" s="1"/>
  <c r="L28" i="2"/>
  <c r="K28" i="2" s="1"/>
  <c r="L29" i="2"/>
  <c r="K29" i="2" s="1"/>
  <c r="L30" i="2"/>
  <c r="K30" i="2" s="1"/>
  <c r="L31" i="2"/>
  <c r="K31" i="2" s="1"/>
  <c r="L32" i="2"/>
  <c r="K32" i="2" s="1"/>
  <c r="L33" i="2"/>
  <c r="K33" i="2" s="1"/>
  <c r="L34" i="2"/>
  <c r="K34" i="2" s="1"/>
  <c r="L35" i="2"/>
  <c r="K35" i="2" s="1"/>
  <c r="L36" i="2"/>
  <c r="K36" i="2" s="1"/>
  <c r="L37" i="2"/>
  <c r="K37" i="2" s="1"/>
  <c r="L38" i="2"/>
  <c r="K38" i="2" s="1"/>
  <c r="L39" i="2"/>
  <c r="K39" i="2" s="1"/>
  <c r="L40" i="2"/>
  <c r="K40" i="2" s="1"/>
  <c r="L41" i="2"/>
  <c r="K41" i="2" s="1"/>
  <c r="L42" i="2"/>
  <c r="K42" i="2" s="1"/>
  <c r="L43" i="2"/>
  <c r="K43" i="2" s="1"/>
  <c r="L44" i="2"/>
  <c r="L45" i="2"/>
  <c r="K45" i="2" s="1"/>
  <c r="L46" i="2"/>
  <c r="K46" i="2" s="1"/>
  <c r="L47" i="2"/>
  <c r="K47" i="2" s="1"/>
  <c r="L48" i="2"/>
  <c r="K48" i="2" s="1"/>
  <c r="L49" i="2"/>
  <c r="K49" i="2" s="1"/>
  <c r="L50" i="2"/>
  <c r="K50" i="2" s="1"/>
  <c r="L51" i="2"/>
  <c r="K51" i="2" s="1"/>
  <c r="L52" i="2"/>
  <c r="K52" i="2" s="1"/>
  <c r="L53" i="2"/>
  <c r="K53" i="2" s="1"/>
  <c r="L54" i="2"/>
  <c r="K54" i="2" s="1"/>
  <c r="L55" i="2"/>
  <c r="K55" i="2" s="1"/>
  <c r="L56" i="2"/>
  <c r="K56" i="2" s="1"/>
  <c r="L57" i="2"/>
  <c r="K57" i="2" s="1"/>
  <c r="L58" i="2"/>
  <c r="K58" i="2" s="1"/>
  <c r="L59" i="2"/>
  <c r="K59" i="2" s="1"/>
  <c r="L60" i="2"/>
  <c r="L61" i="2"/>
  <c r="K61" i="2" s="1"/>
  <c r="L62" i="2"/>
  <c r="K62" i="2" s="1"/>
  <c r="L63" i="2"/>
  <c r="K63" i="2" s="1"/>
  <c r="L64" i="2"/>
  <c r="K64" i="2" s="1"/>
  <c r="L65" i="2"/>
  <c r="K65" i="2" s="1"/>
  <c r="L66" i="2"/>
  <c r="K66" i="2" s="1"/>
  <c r="L67" i="2"/>
  <c r="K67" i="2" s="1"/>
  <c r="L68" i="2"/>
  <c r="K68" i="2" s="1"/>
  <c r="L69" i="2"/>
  <c r="K69" i="2" s="1"/>
  <c r="L70" i="2"/>
  <c r="K70" i="2" s="1"/>
  <c r="L71" i="2"/>
  <c r="K71" i="2" s="1"/>
  <c r="L72" i="2"/>
  <c r="K72" i="2" s="1"/>
  <c r="L73" i="2"/>
  <c r="K73" i="2" s="1"/>
  <c r="L74" i="2"/>
  <c r="K74" i="2" s="1"/>
  <c r="L75" i="2"/>
  <c r="K75" i="2" s="1"/>
  <c r="L76" i="2"/>
  <c r="L77" i="2"/>
  <c r="K77" i="2" s="1"/>
  <c r="L78" i="2"/>
  <c r="K78" i="2" s="1"/>
  <c r="L79" i="2"/>
  <c r="K79" i="2" s="1"/>
  <c r="L80" i="2"/>
  <c r="K80" i="2" s="1"/>
  <c r="L81" i="2"/>
  <c r="K81" i="2" s="1"/>
  <c r="L82" i="2"/>
  <c r="K82" i="2" s="1"/>
  <c r="L83" i="2"/>
  <c r="K83" i="2" s="1"/>
  <c r="L84" i="2"/>
  <c r="K84" i="2" s="1"/>
  <c r="L85" i="2"/>
  <c r="K85" i="2" s="1"/>
  <c r="L86" i="2"/>
  <c r="K86" i="2" s="1"/>
  <c r="L87" i="2"/>
  <c r="K87" i="2" s="1"/>
  <c r="L88" i="2"/>
  <c r="K88" i="2" s="1"/>
  <c r="L89" i="2"/>
  <c r="K89" i="2" s="1"/>
  <c r="L90" i="2"/>
  <c r="K90" i="2" s="1"/>
  <c r="L91" i="2"/>
  <c r="K91" i="2" s="1"/>
  <c r="L92" i="2"/>
  <c r="K92" i="2" s="1"/>
  <c r="L93" i="2"/>
  <c r="K93" i="2" s="1"/>
  <c r="L94" i="2"/>
  <c r="K94" i="2" s="1"/>
  <c r="L95" i="2"/>
  <c r="K95" i="2" s="1"/>
  <c r="L96" i="2"/>
  <c r="K96" i="2" s="1"/>
  <c r="L97" i="2"/>
  <c r="K97" i="2" s="1"/>
  <c r="L98" i="2"/>
  <c r="K98" i="2" s="1"/>
  <c r="L99" i="2"/>
  <c r="K99" i="2" s="1"/>
  <c r="L100" i="2"/>
  <c r="K100" i="2" s="1"/>
  <c r="L101" i="2"/>
  <c r="K101" i="2" s="1"/>
  <c r="L102" i="2"/>
  <c r="K102" i="2" s="1"/>
  <c r="L103" i="2"/>
  <c r="K103" i="2" s="1"/>
  <c r="L104" i="2"/>
  <c r="K104" i="2" s="1"/>
  <c r="L105" i="2"/>
  <c r="K105" i="2" s="1"/>
  <c r="B3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9E024E-00F8-4371-B314-961D8C765FC0}" keepAlive="1" name="Query - BVW_BTItemLot" description="Connection to the 'BVW_BTItemLot' query in the workbook." type="5" refreshedVersion="8" background="1" saveData="1">
    <dbPr connection="Provider=Microsoft.Mashup.OleDb.1;Data Source=$Workbook$;Location=BVW_BTItemLot;Extended Properties=&quot;&quot;" command="SELECT * FROM [BVW_BTItemLot]"/>
  </connection>
  <connection id="2" xr16:uid="{651A95D9-B73E-42F9-B1AB-65882511A4F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36923700-676A-4E30-8A76-E237D436FC20}" name="WorksheetConnection_Middle Room Current Inventory.xlsx!BVW_BTItemLot" type="102" refreshedVersion="8" minRefreshableVersion="5">
    <extLst>
      <ext xmlns:x15="http://schemas.microsoft.com/office/spreadsheetml/2010/11/main" uri="{DE250136-89BD-433C-8126-D09CA5730AF9}">
        <x15:connection id="BVW_BTItemLot">
          <x15:rangePr sourceName="_xlcn.WorksheetConnection_MiddleRoomCurrentInventory.xlsxBVW_BTItemLot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BVW_BTItemLot].[ItemStatus].&amp;[Available]}"/>
    <s v="{[BVW_BTItemLot].[isOld].&amp;[True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<sst xmlns="http://schemas.openxmlformats.org/spreadsheetml/2006/main" count="2775" uniqueCount="551">
  <si>
    <t>Units</t>
  </si>
  <si>
    <t>Fill</t>
  </si>
  <si>
    <t>TareWeight</t>
  </si>
  <si>
    <t>ItemTypeID</t>
  </si>
  <si>
    <t>ItemID</t>
  </si>
  <si>
    <t>ItemStatus</t>
  </si>
  <si>
    <t>IsOnHold</t>
  </si>
  <si>
    <t>CreatedDateTime</t>
  </si>
  <si>
    <t>CreatedBy</t>
  </si>
  <si>
    <t>UpdatedDateTime</t>
  </si>
  <si>
    <t>UpdatedBy</t>
  </si>
  <si>
    <t>ItemUserField01</t>
  </si>
  <si>
    <t>ItemUserField02</t>
  </si>
  <si>
    <t>ItemUserField03</t>
  </si>
  <si>
    <t>ItemUserField04</t>
  </si>
  <si>
    <t>FacilityID</t>
  </si>
  <si>
    <t>FacilityName</t>
  </si>
  <si>
    <t>FacilityTypeDisplayID</t>
  </si>
  <si>
    <t>LocationTypeID</t>
  </si>
  <si>
    <t>LocationID</t>
  </si>
  <si>
    <t>Room</t>
  </si>
  <si>
    <t>Aisle</t>
  </si>
  <si>
    <t>Layer</t>
  </si>
  <si>
    <t>Slot</t>
  </si>
  <si>
    <t>LotID</t>
  </si>
  <si>
    <t>LotCode</t>
  </si>
  <si>
    <t>ProductID</t>
  </si>
  <si>
    <t>ProductName01</t>
  </si>
  <si>
    <t>ProductIDProductName01</t>
  </si>
  <si>
    <t>IsFillPerUnitUniform</t>
  </si>
  <si>
    <t>IsNetWeightPerFillUniform</t>
  </si>
  <si>
    <t>FillPerUnit</t>
  </si>
  <si>
    <t>NetWeightPerFill</t>
  </si>
  <si>
    <t>NetWeightPerUnit</t>
  </si>
  <si>
    <t>ProductTareWeight</t>
  </si>
  <si>
    <t>LotFacilityID</t>
  </si>
  <si>
    <t>ProductionLineID</t>
  </si>
  <si>
    <t>LotCreatedDate</t>
  </si>
  <si>
    <t>ICProductAttributeValue01</t>
  </si>
  <si>
    <t>ICProductAttributeValue02</t>
  </si>
  <si>
    <t>ICProductAttributeValue03</t>
  </si>
  <si>
    <t>ICProductAttributeValue04</t>
  </si>
  <si>
    <t>ICProductAttributeValue05</t>
  </si>
  <si>
    <t>ICProductAttributeValue06</t>
  </si>
  <si>
    <t>ICProductAttributeValue07</t>
  </si>
  <si>
    <t>WIP</t>
  </si>
  <si>
    <t>Available</t>
  </si>
  <si>
    <t>SGP-LEVI</t>
  </si>
  <si>
    <t>SGP Levi</t>
  </si>
  <si>
    <t>Production</t>
  </si>
  <si>
    <t>2</t>
  </si>
  <si>
    <t>PECANS</t>
  </si>
  <si>
    <t>KERNEL</t>
  </si>
  <si>
    <t>CUT</t>
  </si>
  <si>
    <t>PIECES</t>
  </si>
  <si>
    <t>FANCY</t>
  </si>
  <si>
    <t>MEDIUM</t>
  </si>
  <si>
    <t>1</t>
  </si>
  <si>
    <t>2BLOW</t>
  </si>
  <si>
    <t>BLOW</t>
  </si>
  <si>
    <t>Satake Line</t>
  </si>
  <si>
    <t>Warehousing</t>
  </si>
  <si>
    <t>Vynguyen</t>
  </si>
  <si>
    <t>Z</t>
  </si>
  <si>
    <t>2LMC</t>
  </si>
  <si>
    <t>LMC</t>
  </si>
  <si>
    <t>NATURAL BREAK</t>
  </si>
  <si>
    <t>Buhler Line</t>
  </si>
  <si>
    <t>Blowers</t>
  </si>
  <si>
    <t>WIP0012</t>
  </si>
  <si>
    <t>6C12</t>
  </si>
  <si>
    <t>WIP0012 - 6C12</t>
  </si>
  <si>
    <t>MIDGETS</t>
  </si>
  <si>
    <t>MIDGET</t>
  </si>
  <si>
    <t>SMALL</t>
  </si>
  <si>
    <t>HALVES AND PIECES</t>
  </si>
  <si>
    <t>2ESM1</t>
  </si>
  <si>
    <t>ESM</t>
  </si>
  <si>
    <t>2ESM2</t>
  </si>
  <si>
    <t>STANDARD</t>
  </si>
  <si>
    <t>WIP0015</t>
  </si>
  <si>
    <t>6K12</t>
  </si>
  <si>
    <t>WIP0015 - 6K12</t>
  </si>
  <si>
    <t>WIP0013</t>
  </si>
  <si>
    <t>6C12 R</t>
  </si>
  <si>
    <t>WIP0013 - 6C12 R</t>
  </si>
  <si>
    <t>Ugarza</t>
  </si>
  <si>
    <t>ROT</t>
  </si>
  <si>
    <t>Jespinoza</t>
  </si>
  <si>
    <t>Age</t>
  </si>
  <si>
    <t>ActualTime</t>
  </si>
  <si>
    <t>Sum of Fill</t>
  </si>
  <si>
    <t>Row Labels</t>
  </si>
  <si>
    <t>UPDATE_AGE</t>
  </si>
  <si>
    <t>isOld</t>
  </si>
  <si>
    <t>True</t>
  </si>
  <si>
    <t>Bin Number</t>
  </si>
  <si>
    <t>Grand Total</t>
  </si>
  <si>
    <t>LMC Piece Sizer</t>
  </si>
  <si>
    <t>Sum of Units</t>
  </si>
  <si>
    <t>LOT CODE</t>
  </si>
  <si>
    <t>TIME</t>
  </si>
  <si>
    <t>Sum of TareWeight</t>
  </si>
  <si>
    <t>Mle</t>
  </si>
  <si>
    <t>WIP0072</t>
  </si>
  <si>
    <t>BLOWER RESIZE</t>
  </si>
  <si>
    <t>WIP0072 - BLOWER RESIZE</t>
  </si>
  <si>
    <t>MEAL</t>
  </si>
  <si>
    <t>WIP0198</t>
  </si>
  <si>
    <t>STANDARD PECAN HALVES</t>
  </si>
  <si>
    <t>WIP0198 - STANDARD PECAN HALVES</t>
  </si>
  <si>
    <t>B11</t>
  </si>
  <si>
    <t>BEST Sorter</t>
  </si>
  <si>
    <t>B26</t>
  </si>
  <si>
    <t>Bperez</t>
  </si>
  <si>
    <t>hnguyen</t>
  </si>
  <si>
    <t>rle</t>
  </si>
  <si>
    <t>Aperez</t>
  </si>
  <si>
    <t>WIP0001</t>
  </si>
  <si>
    <t>LIGHT MEAL</t>
  </si>
  <si>
    <t>WIP0001 - LIGHT MEAL</t>
  </si>
  <si>
    <t>B2</t>
  </si>
  <si>
    <t>54305</t>
  </si>
  <si>
    <t>B1</t>
  </si>
  <si>
    <t>WIP0185</t>
  </si>
  <si>
    <t>STANDARD PECAN PIECES</t>
  </si>
  <si>
    <t>WIP0185 - STANDARD PECAN PIECES</t>
  </si>
  <si>
    <t>WIP0030</t>
  </si>
  <si>
    <t>12C16</t>
  </si>
  <si>
    <t>WIP0030 - 12C16</t>
  </si>
  <si>
    <t>B15</t>
  </si>
  <si>
    <t>Ss</t>
  </si>
  <si>
    <t>000001126809</t>
  </si>
  <si>
    <t>S32</t>
  </si>
  <si>
    <t>WIP00332Buhl2025051354305</t>
  </si>
  <si>
    <t>WIP0033</t>
  </si>
  <si>
    <t>12K16</t>
  </si>
  <si>
    <t>WIP0033 - 12K16</t>
  </si>
  <si>
    <t>2ZESM2</t>
  </si>
  <si>
    <t>ESM2</t>
  </si>
  <si>
    <t>BIRD 1</t>
  </si>
  <si>
    <t>PECAN BIRD SEED-MID</t>
  </si>
  <si>
    <t>BIRD 1 - PECAN BIRD SEED-MID</t>
  </si>
  <si>
    <t>WIP0009</t>
  </si>
  <si>
    <t>6-12 (Midget Pieces)</t>
  </si>
  <si>
    <t>WIP0009 - 6-12 (Midget Pieces)</t>
  </si>
  <si>
    <t>2ZESM1</t>
  </si>
  <si>
    <t>ESM1</t>
  </si>
  <si>
    <t>STHOMPSON</t>
  </si>
  <si>
    <t>STUART/BLEND</t>
  </si>
  <si>
    <t>CRACKING</t>
  </si>
  <si>
    <t>EXTRA LARGE</t>
  </si>
  <si>
    <t>B19</t>
  </si>
  <si>
    <t>B25</t>
  </si>
  <si>
    <t>Lnguyen</t>
  </si>
  <si>
    <t>B8</t>
  </si>
  <si>
    <t>54548</t>
  </si>
  <si>
    <t>000001132941</t>
  </si>
  <si>
    <t>WIP00332BLOW2025052754548</t>
  </si>
  <si>
    <t>B20</t>
  </si>
  <si>
    <t>LARGE/MEDIUM</t>
  </si>
  <si>
    <t>WIP0060</t>
  </si>
  <si>
    <t>24-32 (Large Pieces)</t>
  </si>
  <si>
    <t>WIP0060 - 24-32 (Large Pieces)</t>
  </si>
  <si>
    <t>LARGE</t>
  </si>
  <si>
    <t>WIP0066</t>
  </si>
  <si>
    <t>P-32</t>
  </si>
  <si>
    <t>WIP0066 - P-32</t>
  </si>
  <si>
    <t>S0</t>
  </si>
  <si>
    <t>WIP0052</t>
  </si>
  <si>
    <t>20-24 R</t>
  </si>
  <si>
    <t>WIP0052 - 20-24 R</t>
  </si>
  <si>
    <t>WIP0061</t>
  </si>
  <si>
    <t>24-32 R</t>
  </si>
  <si>
    <t>WIP0061 - 24-32 R</t>
  </si>
  <si>
    <t>B21</t>
  </si>
  <si>
    <t>SMALL/MEDIUM</t>
  </si>
  <si>
    <t>B23</t>
  </si>
  <si>
    <t>WIP0031</t>
  </si>
  <si>
    <t>12C16 R</t>
  </si>
  <si>
    <t>WIP0031 - 12C16 R</t>
  </si>
  <si>
    <t>B13</t>
  </si>
  <si>
    <t>213</t>
  </si>
  <si>
    <t>WIP0046</t>
  </si>
  <si>
    <t>16-24 R</t>
  </si>
  <si>
    <t>WIP0046 - 16-24 R</t>
  </si>
  <si>
    <t>2ZLMC</t>
  </si>
  <si>
    <t>S39</t>
  </si>
  <si>
    <t>BIRD 4</t>
  </si>
  <si>
    <t>PECAN BIRD SEED-LRG</t>
  </si>
  <si>
    <t>BIRD 4 - PECAN BIRD SEED-LRG</t>
  </si>
  <si>
    <t>B24</t>
  </si>
  <si>
    <t>P4</t>
  </si>
  <si>
    <t>Djohnson</t>
  </si>
  <si>
    <t>Sweco</t>
  </si>
  <si>
    <t>54834</t>
  </si>
  <si>
    <t>S16</t>
  </si>
  <si>
    <t>S5</t>
  </si>
  <si>
    <t>B22</t>
  </si>
  <si>
    <t>000001140383</t>
  </si>
  <si>
    <t>WIP00123BLOW2025061054834</t>
  </si>
  <si>
    <t>0</t>
  </si>
  <si>
    <t>000001140220</t>
  </si>
  <si>
    <t>S2</t>
  </si>
  <si>
    <t>WIP00152BLOW2025061054834</t>
  </si>
  <si>
    <t>Chernandez</t>
  </si>
  <si>
    <t>75</t>
  </si>
  <si>
    <t>000001139585</t>
  </si>
  <si>
    <t>WIP00133BLOW2025060954749</t>
  </si>
  <si>
    <t>54749</t>
  </si>
  <si>
    <t>B18</t>
  </si>
  <si>
    <t>S33</t>
  </si>
  <si>
    <t>000001139381</t>
  </si>
  <si>
    <t>B10</t>
  </si>
  <si>
    <t>WIP00332BLOW2025060954749</t>
  </si>
  <si>
    <t>000001139355</t>
  </si>
  <si>
    <t>WIP00152BLOW2025060954749</t>
  </si>
  <si>
    <t>WIP00133SATA2025060754764</t>
  </si>
  <si>
    <t>54764</t>
  </si>
  <si>
    <t>000001138579</t>
  </si>
  <si>
    <t>54682</t>
  </si>
  <si>
    <t>Dmwade</t>
  </si>
  <si>
    <t>000001137439</t>
  </si>
  <si>
    <t>S10</t>
  </si>
  <si>
    <t>WIP00133SATA2025060554715</t>
  </si>
  <si>
    <t>54715</t>
  </si>
  <si>
    <t>S27</t>
  </si>
  <si>
    <t>54711</t>
  </si>
  <si>
    <t>000001137074</t>
  </si>
  <si>
    <t>WIP00152BLOW2025060454711</t>
  </si>
  <si>
    <t>000001136280</t>
  </si>
  <si>
    <t>BIRD 41Buhl2025060354682</t>
  </si>
  <si>
    <t>000001136235</t>
  </si>
  <si>
    <t>WIP00301LMC2025060354689</t>
  </si>
  <si>
    <t>54689</t>
  </si>
  <si>
    <t>000001136131</t>
  </si>
  <si>
    <t>000001087689</t>
  </si>
  <si>
    <t>jdavila</t>
  </si>
  <si>
    <t>.</t>
  </si>
  <si>
    <t>3582</t>
  </si>
  <si>
    <t>ERWA52873WIP007105525</t>
  </si>
  <si>
    <t>52873</t>
  </si>
  <si>
    <t>WIP0071</t>
  </si>
  <si>
    <t>BRIGHT</t>
  </si>
  <si>
    <t>WIP0071 - BRIGHT</t>
  </si>
  <si>
    <t>SWTP</t>
  </si>
  <si>
    <t>REWORK</t>
  </si>
  <si>
    <t>54901</t>
  </si>
  <si>
    <t>glewis</t>
  </si>
  <si>
    <t>WIP0039</t>
  </si>
  <si>
    <t>16-20 (Sm/Med Pieces)</t>
  </si>
  <si>
    <t>WIP0039 - 16-20 (Sm/Med Pieces)</t>
  </si>
  <si>
    <t>000001141798</t>
  </si>
  <si>
    <t>S18</t>
  </si>
  <si>
    <t>WIP00123BLOW2025061354901</t>
  </si>
  <si>
    <t>Ctran</t>
  </si>
  <si>
    <t>000001141723</t>
  </si>
  <si>
    <t>WIP00132BLOW2025061354901</t>
  </si>
  <si>
    <t>WIP0027</t>
  </si>
  <si>
    <t>12-16 (Small Pieces)</t>
  </si>
  <si>
    <t>WIP0027 - 12-16 (Small Pieces)</t>
  </si>
  <si>
    <t>54882</t>
  </si>
  <si>
    <t>000001141258</t>
  </si>
  <si>
    <t>S23</t>
  </si>
  <si>
    <t>WIP00332BLOW2025061254882</t>
  </si>
  <si>
    <t>000001141206</t>
  </si>
  <si>
    <t>WIP00152BLOW2025061254882</t>
  </si>
  <si>
    <t>000001141012</t>
  </si>
  <si>
    <t>WIP00423LMC2025061154865</t>
  </si>
  <si>
    <t>54865</t>
  </si>
  <si>
    <t>WIP0042</t>
  </si>
  <si>
    <t>16C20</t>
  </si>
  <si>
    <t>WIP0042 - 16C20</t>
  </si>
  <si>
    <t>000001140993</t>
  </si>
  <si>
    <t>WIP00123BLOW2025061154866</t>
  </si>
  <si>
    <t>54866</t>
  </si>
  <si>
    <t>000001140859</t>
  </si>
  <si>
    <t>WIP00122BLOW2025061154866</t>
  </si>
  <si>
    <t>000001140856</t>
  </si>
  <si>
    <t>B12</t>
  </si>
  <si>
    <t>WIP00132BLOW2025061154866</t>
  </si>
  <si>
    <t>54939</t>
  </si>
  <si>
    <t>54946</t>
  </si>
  <si>
    <t>S19</t>
  </si>
  <si>
    <t>54944</t>
  </si>
  <si>
    <t>P2</t>
  </si>
  <si>
    <t>B7</t>
  </si>
  <si>
    <t>000001142307</t>
  </si>
  <si>
    <t>WIP00152BLOW2025061654939</t>
  </si>
  <si>
    <t>B14</t>
  </si>
  <si>
    <t>P7</t>
  </si>
  <si>
    <t>S38</t>
  </si>
  <si>
    <t>54999</t>
  </si>
  <si>
    <t>S9</t>
  </si>
  <si>
    <t>B16</t>
  </si>
  <si>
    <t>B90</t>
  </si>
  <si>
    <t>WIP0184</t>
  </si>
  <si>
    <t>P-32 R</t>
  </si>
  <si>
    <t>WIP0184 - P-32 R</t>
  </si>
  <si>
    <t>S12</t>
  </si>
  <si>
    <t>S30</t>
  </si>
  <si>
    <t>S36</t>
  </si>
  <si>
    <t>000001144035</t>
  </si>
  <si>
    <t>WIP00312BLOW2025061954999</t>
  </si>
  <si>
    <t>000001144034</t>
  </si>
  <si>
    <t>WIP00122BLOW2025061954999</t>
  </si>
  <si>
    <t>54959</t>
  </si>
  <si>
    <t>000001142844</t>
  </si>
  <si>
    <t>137</t>
  </si>
  <si>
    <t>WIP00282SATA2025061754960</t>
  </si>
  <si>
    <t>54960</t>
  </si>
  <si>
    <t>WIP0028</t>
  </si>
  <si>
    <t>12-16 R</t>
  </si>
  <si>
    <t>WIP0028 - 12-16 R</t>
  </si>
  <si>
    <t>000001142796</t>
  </si>
  <si>
    <t>S37</t>
  </si>
  <si>
    <t>WIP00132BLOW2025061754959</t>
  </si>
  <si>
    <t>55067</t>
  </si>
  <si>
    <t>55061</t>
  </si>
  <si>
    <t>S1</t>
  </si>
  <si>
    <t>55063</t>
  </si>
  <si>
    <t>000001145473</t>
  </si>
  <si>
    <t>Cs</t>
  </si>
  <si>
    <t>WIP01983BLOW2025062255062</t>
  </si>
  <si>
    <t>55062</t>
  </si>
  <si>
    <t>S8</t>
  </si>
  <si>
    <t>gmaldonado</t>
  </si>
  <si>
    <t>000001145448</t>
  </si>
  <si>
    <t>BIRD 13BEST2025062254944</t>
  </si>
  <si>
    <t>000001145437</t>
  </si>
  <si>
    <t>000001145364</t>
  </si>
  <si>
    <t>WIP00152BLOW2025062255062</t>
  </si>
  <si>
    <t>000001145287</t>
  </si>
  <si>
    <t>WIP00152Buhl2025062254946</t>
  </si>
  <si>
    <t>000001145248</t>
  </si>
  <si>
    <t>171</t>
  </si>
  <si>
    <t>WIP00421LMC2025062255061</t>
  </si>
  <si>
    <t>000001145233</t>
  </si>
  <si>
    <t>264</t>
  </si>
  <si>
    <t>WIP01841SATA2025062255063</t>
  </si>
  <si>
    <t>55048</t>
  </si>
  <si>
    <t>000001145122</t>
  </si>
  <si>
    <t>WIP00523SATA2025062155049</t>
  </si>
  <si>
    <t>55049</t>
  </si>
  <si>
    <t>000001145098</t>
  </si>
  <si>
    <t>WIP00153BLOW2025062155048</t>
  </si>
  <si>
    <t>000001144999</t>
  </si>
  <si>
    <t>S42</t>
  </si>
  <si>
    <t>WIP00122BLOW2025062155048</t>
  </si>
  <si>
    <t>000001144987</t>
  </si>
  <si>
    <t>WIP00272BLOW2025062155048</t>
  </si>
  <si>
    <t>000001144972</t>
  </si>
  <si>
    <t>WIP00152BLOW2025062155048</t>
  </si>
  <si>
    <t>000001144892</t>
  </si>
  <si>
    <t>WIP01851SWE2025062154943</t>
  </si>
  <si>
    <t>54943</t>
  </si>
  <si>
    <t>000001144884</t>
  </si>
  <si>
    <t>000001144827</t>
  </si>
  <si>
    <t>WIP00661BLOW2025062155048</t>
  </si>
  <si>
    <t>55029</t>
  </si>
  <si>
    <t>000001144644</t>
  </si>
  <si>
    <t>WIP00123BLOW2025062055029</t>
  </si>
  <si>
    <t>000001144579</t>
  </si>
  <si>
    <t>S13</t>
  </si>
  <si>
    <t>WIP00132BLOW2025062055029</t>
  </si>
  <si>
    <t>000001144578</t>
  </si>
  <si>
    <t>WIP00122BLOW2025062055029</t>
  </si>
  <si>
    <t>55080</t>
  </si>
  <si>
    <t>000001146082</t>
  </si>
  <si>
    <t>L256</t>
  </si>
  <si>
    <t>WIP00013LMC2025062455080</t>
  </si>
  <si>
    <t>WIP00603CRAK2025062355067</t>
  </si>
  <si>
    <t>000001146071</t>
  </si>
  <si>
    <t>L172</t>
  </si>
  <si>
    <t>WIP00013LMC2025062355080</t>
  </si>
  <si>
    <t>55082</t>
  </si>
  <si>
    <t>WIP00723BLOW2025062355081</t>
  </si>
  <si>
    <t>55081</t>
  </si>
  <si>
    <t>000001146036</t>
  </si>
  <si>
    <t>WIP00613BLOW2025062355081</t>
  </si>
  <si>
    <t>000001146033</t>
  </si>
  <si>
    <t>WIP01853BLOW2025062355081</t>
  </si>
  <si>
    <t>000001146009</t>
  </si>
  <si>
    <t>WIP01983BLOW2025062355081</t>
  </si>
  <si>
    <t>S21</t>
  </si>
  <si>
    <t>000001145947</t>
  </si>
  <si>
    <t>000001145935</t>
  </si>
  <si>
    <t>26</t>
  </si>
  <si>
    <t>000001145927</t>
  </si>
  <si>
    <t>L223</t>
  </si>
  <si>
    <t>000001145905</t>
  </si>
  <si>
    <t>WIP00522BEST2025062355088</t>
  </si>
  <si>
    <t>55088</t>
  </si>
  <si>
    <t>000001145881</t>
  </si>
  <si>
    <t>266</t>
  </si>
  <si>
    <t>WIP00302LMC2025062355080</t>
  </si>
  <si>
    <t>S34</t>
  </si>
  <si>
    <t>000001145871</t>
  </si>
  <si>
    <t>WIP00132BLOW2025062355081</t>
  </si>
  <si>
    <t>000001145862</t>
  </si>
  <si>
    <t>700</t>
  </si>
  <si>
    <t>WIP00462SATA2025062355082</t>
  </si>
  <si>
    <t>000001145853</t>
  </si>
  <si>
    <t>WIP00152BLOW2025062355081</t>
  </si>
  <si>
    <t>000001145821</t>
  </si>
  <si>
    <t>WIP00452LMC2025062355080</t>
  </si>
  <si>
    <t>WIP0045</t>
  </si>
  <si>
    <t>16-24</t>
  </si>
  <si>
    <t>WIP0045 - 16-24</t>
  </si>
  <si>
    <t>tlewis</t>
  </si>
  <si>
    <t>000001145804</t>
  </si>
  <si>
    <t>S28</t>
  </si>
  <si>
    <t>000001145802</t>
  </si>
  <si>
    <t>272</t>
  </si>
  <si>
    <t>WIP10012LMC2025062355080</t>
  </si>
  <si>
    <t>WIP1001</t>
  </si>
  <si>
    <t>DARK MEAL</t>
  </si>
  <si>
    <t>WIP1001 - DARK MEAL</t>
  </si>
  <si>
    <t>000001145801</t>
  </si>
  <si>
    <t>S20</t>
  </si>
  <si>
    <t>WIP00312BLOW2025062355081</t>
  </si>
  <si>
    <t>TRASH</t>
  </si>
  <si>
    <t>000001146927</t>
  </si>
  <si>
    <t>Fs</t>
  </si>
  <si>
    <t>WIP09001BLOW2025062555104</t>
  </si>
  <si>
    <t>55104</t>
  </si>
  <si>
    <t>WIP0900</t>
  </si>
  <si>
    <t>RTS - FS PECANS</t>
  </si>
  <si>
    <t>WIP0900 - RTS - FS PECANS</t>
  </si>
  <si>
    <t>000001146926</t>
  </si>
  <si>
    <t>WIP09001SATA2025062555105</t>
  </si>
  <si>
    <t>55105</t>
  </si>
  <si>
    <t>000001146910</t>
  </si>
  <si>
    <t>37</t>
  </si>
  <si>
    <t>WIP01983CRAK2025062555068</t>
  </si>
  <si>
    <t>55068</t>
  </si>
  <si>
    <t>000001146905</t>
  </si>
  <si>
    <t>F/s</t>
  </si>
  <si>
    <t>WIP09003Buhl2025062555124</t>
  </si>
  <si>
    <t>55124</t>
  </si>
  <si>
    <t>000001146891</t>
  </si>
  <si>
    <t>B38</t>
  </si>
  <si>
    <t>WIP00723BLOW2025062455104</t>
  </si>
  <si>
    <t>000001146888</t>
  </si>
  <si>
    <t>WIP01983BLOW2025062455104</t>
  </si>
  <si>
    <t>000001146887</t>
  </si>
  <si>
    <t>B51</t>
  </si>
  <si>
    <t>000001146885</t>
  </si>
  <si>
    <t>WIP00313BLOW2025062455104</t>
  </si>
  <si>
    <t>000001146861</t>
  </si>
  <si>
    <t>Best 100</t>
  </si>
  <si>
    <t>WIP00313SATA2025062455105</t>
  </si>
  <si>
    <t>000001146860</t>
  </si>
  <si>
    <t>Cs0</t>
  </si>
  <si>
    <t>WIP00513SATA2025062455105</t>
  </si>
  <si>
    <t>WIP0051</t>
  </si>
  <si>
    <t>20-24 (Lrg/Med Pieces)</t>
  </si>
  <si>
    <t>WIP0051 - 20-24 (Lrg/Med Pieces)</t>
  </si>
  <si>
    <t>000001146848</t>
  </si>
  <si>
    <t>000001146801</t>
  </si>
  <si>
    <t>WIP00133SATA2025062455105</t>
  </si>
  <si>
    <t>000001146793</t>
  </si>
  <si>
    <t>000001146791</t>
  </si>
  <si>
    <t>S41</t>
  </si>
  <si>
    <t>WIP00663BLOW2025062455104</t>
  </si>
  <si>
    <t>000001146789</t>
  </si>
  <si>
    <t>000001146743</t>
  </si>
  <si>
    <t>Trashbin</t>
  </si>
  <si>
    <t>WIP09003SATA2025062455105</t>
  </si>
  <si>
    <t>000001146741</t>
  </si>
  <si>
    <t>WIP09002BLOW2025062455104</t>
  </si>
  <si>
    <t>000001146739</t>
  </si>
  <si>
    <t>WIP00722BLOW2025062455104</t>
  </si>
  <si>
    <t>000001146737</t>
  </si>
  <si>
    <t>amendez</t>
  </si>
  <si>
    <t>Kwoodson</t>
  </si>
  <si>
    <t>WIP01782PICK2025062455106</t>
  </si>
  <si>
    <t>55106</t>
  </si>
  <si>
    <t>WIP0178</t>
  </si>
  <si>
    <t>RESIZE</t>
  </si>
  <si>
    <t>WIP0178 - RESIZE</t>
  </si>
  <si>
    <t>Picking Area</t>
  </si>
  <si>
    <t>000001146733</t>
  </si>
  <si>
    <t>WIP09002Buhl2025062455124</t>
  </si>
  <si>
    <t>000001146732</t>
  </si>
  <si>
    <t>000001146730</t>
  </si>
  <si>
    <t>7</t>
  </si>
  <si>
    <t>WIP00152SWE2025062455087</t>
  </si>
  <si>
    <t>55087</t>
  </si>
  <si>
    <t>000001146727</t>
  </si>
  <si>
    <t>WIP01982SWE2025062455087</t>
  </si>
  <si>
    <t>000001146726</t>
  </si>
  <si>
    <t>S24</t>
  </si>
  <si>
    <t>WIP00662BEST2025062455088</t>
  </si>
  <si>
    <t>000001146725</t>
  </si>
  <si>
    <t>WIP00152BLOW2025062455104</t>
  </si>
  <si>
    <t>000001146717</t>
  </si>
  <si>
    <t>Jhernandez</t>
  </si>
  <si>
    <t>WIP00312SATA2025062455105</t>
  </si>
  <si>
    <t>000001146703</t>
  </si>
  <si>
    <t>Qjones</t>
  </si>
  <si>
    <t>WIP00602CRAK2025062455068</t>
  </si>
  <si>
    <t>000001146695</t>
  </si>
  <si>
    <t>WIP00332BLOW2025062455104</t>
  </si>
  <si>
    <t>000001146692</t>
  </si>
  <si>
    <t>WIP00092BLOW2025062455104</t>
  </si>
  <si>
    <t>000001146687</t>
  </si>
  <si>
    <t>234</t>
  </si>
  <si>
    <t>WIP10012SWE2025062455087</t>
  </si>
  <si>
    <t>000001146677</t>
  </si>
  <si>
    <t>WIP01982Buhl2025062454945</t>
  </si>
  <si>
    <t>54945</t>
  </si>
  <si>
    <t>000001146641</t>
  </si>
  <si>
    <t>WIP00432SATA2025062455105</t>
  </si>
  <si>
    <t>WIP0043</t>
  </si>
  <si>
    <t>16C20 R</t>
  </si>
  <si>
    <t>WIP0043 - 16C20 R</t>
  </si>
  <si>
    <t>000001146639</t>
  </si>
  <si>
    <t>WIP00272BLOW2025062455104</t>
  </si>
  <si>
    <t>000001146628</t>
  </si>
  <si>
    <t>S40</t>
  </si>
  <si>
    <t>WIP00392BLOW2025062455104</t>
  </si>
  <si>
    <t>000001146612</t>
  </si>
  <si>
    <t>19</t>
  </si>
  <si>
    <t>WIP00132SATA2025062455105</t>
  </si>
  <si>
    <t>000001146518</t>
  </si>
  <si>
    <t>00</t>
  </si>
  <si>
    <t>WIP09001SATA2025062455105</t>
  </si>
  <si>
    <t>000001146490</t>
  </si>
  <si>
    <t>WIP09001Buhl2025062455124</t>
  </si>
  <si>
    <t>000001146454</t>
  </si>
  <si>
    <t>WIP01971LMC2025062455103</t>
  </si>
  <si>
    <t>55103</t>
  </si>
  <si>
    <t>WIP0197</t>
  </si>
  <si>
    <t>RECUT</t>
  </si>
  <si>
    <t>WIP0197 - RECUT</t>
  </si>
  <si>
    <t>000001146448</t>
  </si>
  <si>
    <t>999</t>
  </si>
  <si>
    <t>WIP01981CRAK2025062455068</t>
  </si>
  <si>
    <t>000001146356</t>
  </si>
  <si>
    <t>S25</t>
  </si>
  <si>
    <t>WIP01621Buhl2025062455073</t>
  </si>
  <si>
    <t>55073</t>
  </si>
  <si>
    <t>WIP0162</t>
  </si>
  <si>
    <t>8C12 A</t>
  </si>
  <si>
    <t>WIP0162 - 8C12 A</t>
  </si>
  <si>
    <t>000001146354</t>
  </si>
  <si>
    <t>S35</t>
  </si>
  <si>
    <t>000001146152</t>
  </si>
  <si>
    <t>B3</t>
  </si>
  <si>
    <t>WIP00461BLOW2025062455104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</si>
</sst>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58">
    <dxf>
      <numFmt numFmtId="30" formatCode="@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alignment horizontal="center" indent="0"/>
    </dxf>
    <dxf>
      <alignment horizontal="left"/>
    </dxf>
    <dxf>
      <alignment indent="1"/>
    </dxf>
    <dxf>
      <numFmt numFmtId="27" formatCode="m/d/yyyy\ h:mm"/>
    </dxf>
    <dxf>
      <numFmt numFmtId="27" formatCode="m/d/yyyy\ h:mm"/>
    </dxf>
    <dxf>
      <numFmt numFmtId="2" formatCode="0.00"/>
    </dxf>
    <dxf>
      <numFmt numFmtId="27" formatCode="m/d/yyyy\ h:mm"/>
    </dxf>
    <dxf>
      <numFmt numFmtId="27" formatCode="m/d/yyyy\ h:mm"/>
    </dxf>
    <dxf>
      <alignment indent="1"/>
    </dxf>
    <dxf>
      <alignment horizontal="left"/>
    </dxf>
    <dxf>
      <alignment horizontal="center" indent="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chard Le" refreshedDate="45833.35184722222" backgroundQuery="1" createdVersion="8" refreshedVersion="8" minRefreshableVersion="3" recordCount="0" supportSubquery="1" supportAdvancedDrill="1" xr:uid="{836716E5-2B61-4FB6-B3D5-1344D25C0F0F}">
  <cacheSource type="external" connectionId="2"/>
  <cacheFields count="11">
    <cacheField name="[BVW_BTItemLot].[ProductIDProductName01].[ProductIDProductName01]" caption="ProductIDProductName01" numFmtId="0" hierarchy="31" level="1">
      <sharedItems count="2">
        <s v="WIP0030 - 12C16"/>
        <s v="WIP0013 - 6C12 R" u="1"/>
      </sharedItems>
      <extLst>
        <ext xmlns:x15="http://schemas.microsoft.com/office/spreadsheetml/2010/11/main" uri="{4F2E5C28-24EA-4eb8-9CBF-B6C8F9C3D259}">
          <x15:cachedUniqueNames>
            <x15:cachedUniqueName index="0" name="[BVW_BTItemLot].[ProductIDProductName01].&amp;[WIP0030 - 12C16]"/>
            <x15:cachedUniqueName index="1" name="[BVW_BTItemLot].[ProductIDProductName01].&amp;[WIP0013 - 6C12 R]"/>
          </x15:cachedUniqueNames>
        </ext>
      </extLst>
    </cacheField>
    <cacheField name="[BVW_BTItemLot].[ItemID].[ItemID]" caption="ItemID" numFmtId="0" hierarchy="4" level="1">
      <sharedItems count="2">
        <s v="000001136131"/>
        <s v="000001136235"/>
      </sharedItems>
      <extLst>
        <ext xmlns:x15="http://schemas.microsoft.com/office/spreadsheetml/2010/11/main" uri="{4F2E5C28-24EA-4eb8-9CBF-B6C8F9C3D259}">
          <x15:cachedUniqueNames>
            <x15:cachedUniqueName index="0" name="[BVW_BTItemLot].[ItemID].&amp;[000001136131]"/>
            <x15:cachedUniqueName index="1" name="[BVW_BTItemLot].[ItemID].&amp;[000001136235]"/>
          </x15:cachedUniqueNames>
        </ext>
      </extLst>
    </cacheField>
    <cacheField name="[BVW_BTItemLot].[ItemStatus].[ItemStatus]" caption="ItemStatus" numFmtId="0" hierarchy="5" level="1">
      <sharedItems containsSemiMixedTypes="0" containsNonDate="0" containsString="0"/>
    </cacheField>
    <cacheField name="[BVW_BTItemLot].[LocationID].[LocationID]" caption="LocationID" numFmtId="0" hierarchy="22" level="1">
      <sharedItems count="4">
        <s v="2BLOW"/>
        <s v="2ESM1"/>
        <s v="2ESM2"/>
        <s v="2LMC"/>
      </sharedItems>
      <extLst>
        <ext xmlns:x15="http://schemas.microsoft.com/office/spreadsheetml/2010/11/main" uri="{4F2E5C28-24EA-4eb8-9CBF-B6C8F9C3D259}">
          <x15:cachedUniqueNames>
            <x15:cachedUniqueName index="0" name="[BVW_BTItemLot].[LocationID].&amp;[2BLOW]"/>
            <x15:cachedUniqueName index="1" name="[BVW_BTItemLot].[LocationID].&amp;[2ESM1]"/>
            <x15:cachedUniqueName index="2" name="[BVW_BTItemLot].[LocationID].&amp;[2ESM2]"/>
            <x15:cachedUniqueName index="3" name="[BVW_BTItemLot].[LocationID].&amp;[2LMC]"/>
          </x15:cachedUniqueNames>
        </ext>
      </extLst>
    </cacheField>
    <cacheField name="[Measures].[Sum of Fill]" caption="Sum of Fill" numFmtId="0" hierarchy="53" level="32767"/>
    <cacheField name="[BVW_BTItemLot].[isOld].[isOld]" caption="isOld" numFmtId="0" hierarchy="10" level="1">
      <sharedItems containsSemiMixedTypes="0" containsNonDate="0" containsString="0"/>
    </cacheField>
    <cacheField name="[Measures].[Bin Number]" caption="Bin Number" numFmtId="0" hierarchy="49" level="32767"/>
    <cacheField name="[Measures].[UPDATE_AGE]" caption="UPDATE_AGE" numFmtId="0" hierarchy="48" level="32767"/>
    <cacheField name="[Measures].[Sum of Units]" caption="Sum of Units" numFmtId="0" hierarchy="54" level="32767"/>
    <cacheField name="[Measures].[LOT CODE]" caption="LOT CODE" numFmtId="0" hierarchy="50" level="32767"/>
    <cacheField name="[Measures].[Sum of TareWeight]" caption="Sum of TareWeight" numFmtId="0" hierarchy="55" level="32767"/>
  </cacheFields>
  <cacheHierarchies count="56">
    <cacheHierarchy uniqueName="[BVW_BTItemLot].[Units]" caption="Units" attribute="1" defaultMemberUniqueName="[BVW_BTItemLot].[Units].[All]" allUniqueName="[BVW_BTItemLot].[Units].[All]" dimensionUniqueName="[BVW_BTItemLot]" displayFolder="" count="0" memberValueDatatype="20" unbalanced="0"/>
    <cacheHierarchy uniqueName="[BVW_BTItemLot].[Fill]" caption="Fill" attribute="1" defaultMemberUniqueName="[BVW_BTItemLot].[Fill].[All]" allUniqueName="[BVW_BTItemLot].[Fill].[All]" dimensionUniqueName="[BVW_BTItemLot]" displayFolder="" count="0" memberValueDatatype="20" unbalanced="0"/>
    <cacheHierarchy uniqueName="[BVW_BTItemLot].[TareWeight]" caption="TareWeight" attribute="1" defaultMemberUniqueName="[BVW_BTItemLot].[TareWeight].[All]" allUniqueName="[BVW_BTItemLot].[TareWeight].[All]" dimensionUniqueName="[BVW_BTItemLot]" displayFolder="" count="0" memberValueDatatype="20" unbalanced="0"/>
    <cacheHierarchy uniqueName="[BVW_BTItemLot].[ItemTypeID]" caption="ItemTypeID" attribute="1" defaultMemberUniqueName="[BVW_BTItemLot].[ItemTypeID].[All]" allUniqueName="[BVW_BTItemLot].[ItemTypeID].[All]" dimensionUniqueName="[BVW_BTItemLot]" displayFolder="" count="0" memberValueDatatype="130" unbalanced="0"/>
    <cacheHierarchy uniqueName="[BVW_BTItemLot].[ItemID]" caption="ItemID" attribute="1" defaultMemberUniqueName="[BVW_BTItemLot].[ItemID].[All]" allUniqueName="[BVW_BTItemLot].[ItemID].[All]" dimensionUniqueName="[BVW_BTItemLot]" displayFolder="" count="2" memberValueDatatype="130" unbalanced="0">
      <fieldsUsage count="2">
        <fieldUsage x="-1"/>
        <fieldUsage x="1"/>
      </fieldsUsage>
    </cacheHierarchy>
    <cacheHierarchy uniqueName="[BVW_BTItemLot].[ItemStatus]" caption="ItemStatus" attribute="1" defaultMemberUniqueName="[BVW_BTItemLot].[ItemStatus].[All]" allUniqueName="[BVW_BTItemLot].[ItemStatus].[All]" dimensionUniqueName="[BVW_BTItemLot]" displayFolder="" count="2" memberValueDatatype="130" unbalanced="0">
      <fieldsUsage count="2">
        <fieldUsage x="-1"/>
        <fieldUsage x="2"/>
      </fieldsUsage>
    </cacheHierarchy>
    <cacheHierarchy uniqueName="[BVW_BTItemLot].[IsOnHold]" caption="IsOnHold" attribute="1" defaultMemberUniqueName="[BVW_BTItemLot].[IsOnHold].[All]" allUniqueName="[BVW_BTItemLot].[IsOnHold].[All]" dimensionUniqueName="[BVW_BTItemLot]" displayFolder="" count="0" memberValueDatatype="11" unbalanced="0"/>
    <cacheHierarchy uniqueName="[BVW_BTItemLot].[ActualTime]" caption="ActualTime" attribute="1" time="1" defaultMemberUniqueName="[BVW_BTItemLot].[ActualTime].[All]" allUniqueName="[BVW_BTItemLot].[ActualTime].[All]" dimensionUniqueName="[BVW_BTItemLot]" displayFolder="" count="0" memberValueDatatype="7" unbalanced="0"/>
    <cacheHierarchy uniqueName="[BVW_BTItemLot].[CreatedDateTime]" caption="CreatedDateTime" attribute="1" time="1" defaultMemberUniqueName="[BVW_BTItemLot].[CreatedDateTime].[All]" allUniqueName="[BVW_BTItemLot].[CreatedDateTime].[All]" dimensionUniqueName="[BVW_BTItemLot]" displayFolder="" count="0" memberValueDatatype="7" unbalanced="0"/>
    <cacheHierarchy uniqueName="[BVW_BTItemLot].[CreatedBy]" caption="CreatedBy" attribute="1" defaultMemberUniqueName="[BVW_BTItemLot].[CreatedBy].[All]" allUniqueName="[BVW_BTItemLot].[CreatedBy].[All]" dimensionUniqueName="[BVW_BTItemLot]" displayFolder="" count="0" memberValueDatatype="130" unbalanced="0"/>
    <cacheHierarchy uniqueName="[BVW_BTItemLot].[isOld]" caption="isOld" attribute="1" defaultMemberUniqueName="[BVW_BTItemLot].[isOld].[All]" allUniqueName="[BVW_BTItemLot].[isOld].[All]" dimensionUniqueName="[BVW_BTItemLot]" displayFolder="" count="2" memberValueDatatype="11" unbalanced="0">
      <fieldsUsage count="2">
        <fieldUsage x="-1"/>
        <fieldUsage x="5"/>
      </fieldsUsage>
    </cacheHierarchy>
    <cacheHierarchy uniqueName="[BVW_BTItemLot].[Age]" caption="Age" attribute="1" defaultMemberUniqueName="[BVW_BTItemLot].[Age].[All]" allUniqueName="[BVW_BTItemLot].[Age].[All]" dimensionUniqueName="[BVW_BTItemLot]" displayFolder="" count="0" memberValueDatatype="5" unbalanced="0"/>
    <cacheHierarchy uniqueName="[BVW_BTItemLot].[UpdatedDateTime]" caption="UpdatedDateTime" attribute="1" time="1" defaultMemberUniqueName="[BVW_BTItemLot].[UpdatedDateTime].[All]" allUniqueName="[BVW_BTItemLot].[UpdatedDateTime].[All]" dimensionUniqueName="[BVW_BTItemLot]" displayFolder="" count="0" memberValueDatatype="7" unbalanced="0"/>
    <cacheHierarchy uniqueName="[BVW_BTItemLot].[UpdatedBy]" caption="UpdatedBy" attribute="1" defaultMemberUniqueName="[BVW_BTItemLot].[UpdatedBy].[All]" allUniqueName="[BVW_BTItemLot].[UpdatedBy].[All]" dimensionUniqueName="[BVW_BTItemLot]" displayFolder="" count="0" memberValueDatatype="130" unbalanced="0"/>
    <cacheHierarchy uniqueName="[BVW_BTItemLot].[ItemUserField01]" caption="ItemUserField01" attribute="1" defaultMemberUniqueName="[BVW_BTItemLot].[ItemUserField01].[All]" allUniqueName="[BVW_BTItemLot].[ItemUserField01].[All]" dimensionUniqueName="[BVW_BTItemLot]" displayFolder="" count="0" memberValueDatatype="130" unbalanced="0"/>
    <cacheHierarchy uniqueName="[BVW_BTItemLot].[ItemUserField02]" caption="ItemUserField02" attribute="1" defaultMemberUniqueName="[BVW_BTItemLot].[ItemUserField02].[All]" allUniqueName="[BVW_BTItemLot].[ItemUserField02].[All]" dimensionUniqueName="[BVW_BTItemLot]" displayFolder="" count="0" memberValueDatatype="130" unbalanced="0"/>
    <cacheHierarchy uniqueName="[BVW_BTItemLot].[ItemUserField03]" caption="ItemUserField03" attribute="1" defaultMemberUniqueName="[BVW_BTItemLot].[ItemUserField03].[All]" allUniqueName="[BVW_BTItemLot].[ItemUserField03].[All]" dimensionUniqueName="[BVW_BTItemLot]" displayFolder="" count="0" memberValueDatatype="130" unbalanced="0"/>
    <cacheHierarchy uniqueName="[BVW_BTItemLot].[ItemUserField04]" caption="ItemUserField04" attribute="1" defaultMemberUniqueName="[BVW_BTItemLot].[ItemUserField04].[All]" allUniqueName="[BVW_BTItemLot].[ItemUserField04].[All]" dimensionUniqueName="[BVW_BTItemLot]" displayFolder="" count="0" memberValueDatatype="130" unbalanced="0"/>
    <cacheHierarchy uniqueName="[BVW_BTItemLot].[FacilityID]" caption="FacilityID" attribute="1" defaultMemberUniqueName="[BVW_BTItemLot].[FacilityID].[All]" allUniqueName="[BVW_BTItemLot].[FacilityID].[All]" dimensionUniqueName="[BVW_BTItemLot]" displayFolder="" count="0" memberValueDatatype="130" unbalanced="0"/>
    <cacheHierarchy uniqueName="[BVW_BTItemLot].[FacilityName]" caption="FacilityName" attribute="1" defaultMemberUniqueName="[BVW_BTItemLot].[FacilityName].[All]" allUniqueName="[BVW_BTItemLot].[FacilityName].[All]" dimensionUniqueName="[BVW_BTItemLot]" displayFolder="" count="0" memberValueDatatype="130" unbalanced="0"/>
    <cacheHierarchy uniqueName="[BVW_BTItemLot].[FacilityTypeDisplayID]" caption="FacilityTypeDisplayID" attribute="1" defaultMemberUniqueName="[BVW_BTItemLot].[FacilityTypeDisplayID].[All]" allUniqueName="[BVW_BTItemLot].[FacilityTypeDisplayID].[All]" dimensionUniqueName="[BVW_BTItemLot]" displayFolder="" count="0" memberValueDatatype="130" unbalanced="0"/>
    <cacheHierarchy uniqueName="[BVW_BTItemLot].[LocationTypeID]" caption="LocationTypeID" attribute="1" defaultMemberUniqueName="[BVW_BTItemLot].[LocationTypeID].[All]" allUniqueName="[BVW_BTItemLot].[LocationTypeID].[All]" dimensionUniqueName="[BVW_BTItemLot]" displayFolder="" count="0" memberValueDatatype="130" unbalanced="0"/>
    <cacheHierarchy uniqueName="[BVW_BTItemLot].[LocationID]" caption="LocationID" attribute="1" defaultMemberUniqueName="[BVW_BTItemLot].[LocationID].[All]" allUniqueName="[BVW_BTItemLot].[LocationID].[All]" dimensionUniqueName="[BVW_BTItemLot]" displayFolder="" count="2" memberValueDatatype="130" unbalanced="0">
      <fieldsUsage count="2">
        <fieldUsage x="-1"/>
        <fieldUsage x="3"/>
      </fieldsUsage>
    </cacheHierarchy>
    <cacheHierarchy uniqueName="[BVW_BTItemLot].[Room]" caption="Room" attribute="1" defaultMemberUniqueName="[BVW_BTItemLot].[Room].[All]" allUniqueName="[BVW_BTItemLot].[Room].[All]" dimensionUniqueName="[BVW_BTItemLot]" displayFolder="" count="0" memberValueDatatype="130" unbalanced="0"/>
    <cacheHierarchy uniqueName="[BVW_BTItemLot].[Aisle]" caption="Aisle" attribute="1" defaultMemberUniqueName="[BVW_BTItemLot].[Aisle].[All]" allUniqueName="[BVW_BTItemLot].[Aisle].[All]" dimensionUniqueName="[BVW_BTItemLot]" displayFolder="" count="0" memberValueDatatype="130" unbalanced="0"/>
    <cacheHierarchy uniqueName="[BVW_BTItemLot].[Layer]" caption="Layer" attribute="1" defaultMemberUniqueName="[BVW_BTItemLot].[Layer].[All]" allUniqueName="[BVW_BTItemLot].[Layer].[All]" dimensionUniqueName="[BVW_BTItemLot]" displayFolder="" count="0" memberValueDatatype="130" unbalanced="0"/>
    <cacheHierarchy uniqueName="[BVW_BTItemLot].[Slot]" caption="Slot" attribute="1" defaultMemberUniqueName="[BVW_BTItemLot].[Slot].[All]" allUniqueName="[BVW_BTItemLot].[Slot].[All]" dimensionUniqueName="[BVW_BTItemLot]" displayFolder="" count="0" memberValueDatatype="130" unbalanced="0"/>
    <cacheHierarchy uniqueName="[BVW_BTItemLot].[LotID]" caption="LotID" attribute="1" defaultMemberUniqueName="[BVW_BTItemLot].[LotID].[All]" allUniqueName="[BVW_BTItemLot].[LotID].[All]" dimensionUniqueName="[BVW_BTItemLot]" displayFolder="" count="0" memberValueDatatype="130" unbalanced="0"/>
    <cacheHierarchy uniqueName="[BVW_BTItemLot].[LotCode]" caption="LotCode" attribute="1" defaultMemberUniqueName="[BVW_BTItemLot].[LotCode].[All]" allUniqueName="[BVW_BTItemLot].[LotCode].[All]" dimensionUniqueName="[BVW_BTItemLot]" displayFolder="" count="0" memberValueDatatype="130" unbalanced="0"/>
    <cacheHierarchy uniqueName="[BVW_BTItemLot].[ProductID]" caption="ProductID" attribute="1" defaultMemberUniqueName="[BVW_BTItemLot].[ProductID].[All]" allUniqueName="[BVW_BTItemLot].[ProductID].[All]" dimensionUniqueName="[BVW_BTItemLot]" displayFolder="" count="0" memberValueDatatype="130" unbalanced="0"/>
    <cacheHierarchy uniqueName="[BVW_BTItemLot].[ProductName01]" caption="ProductName01" attribute="1" defaultMemberUniqueName="[BVW_BTItemLot].[ProductName01].[All]" allUniqueName="[BVW_BTItemLot].[ProductName01].[All]" dimensionUniqueName="[BVW_BTItemLot]" displayFolder="" count="0" memberValueDatatype="130" unbalanced="0"/>
    <cacheHierarchy uniqueName="[BVW_BTItemLot].[ProductIDProductName01]" caption="ProductIDProductName01" attribute="1" defaultMemberUniqueName="[BVW_BTItemLot].[ProductIDProductName01].[All]" allUniqueName="[BVW_BTItemLot].[ProductIDProductName01].[All]" dimensionUniqueName="[BVW_BTItemLot]" displayFolder="" count="2" memberValueDatatype="130" unbalanced="0">
      <fieldsUsage count="2">
        <fieldUsage x="-1"/>
        <fieldUsage x="0"/>
      </fieldsUsage>
    </cacheHierarchy>
    <cacheHierarchy uniqueName="[BVW_BTItemLot].[IsFillPerUnitUniform]" caption="IsFillPerUnitUniform" attribute="1" defaultMemberUniqueName="[BVW_BTItemLot].[IsFillPerUnitUniform].[All]" allUniqueName="[BVW_BTItemLot].[IsFillPerUnitUniform].[All]" dimensionUniqueName="[BVW_BTItemLot]" displayFolder="" count="0" memberValueDatatype="11" unbalanced="0"/>
    <cacheHierarchy uniqueName="[BVW_BTItemLot].[IsNetWeightPerFillUniform]" caption="IsNetWeightPerFillUniform" attribute="1" defaultMemberUniqueName="[BVW_BTItemLot].[IsNetWeightPerFillUniform].[All]" allUniqueName="[BVW_BTItemLot].[IsNetWeightPerFillUniform].[All]" dimensionUniqueName="[BVW_BTItemLot]" displayFolder="" count="0" memberValueDatatype="11" unbalanced="0"/>
    <cacheHierarchy uniqueName="[BVW_BTItemLot].[FillPerUnit]" caption="FillPerUnit" attribute="1" defaultMemberUniqueName="[BVW_BTItemLot].[FillPerUnit].[All]" allUniqueName="[BVW_BTItemLot].[FillPerUnit].[All]" dimensionUniqueName="[BVW_BTItemLot]" displayFolder="" count="0" memberValueDatatype="20" unbalanced="0"/>
    <cacheHierarchy uniqueName="[BVW_BTItemLot].[NetWeightPerFill]" caption="NetWeightPerFill" attribute="1" defaultMemberUniqueName="[BVW_BTItemLot].[NetWeightPerFill].[All]" allUniqueName="[BVW_BTItemLot].[NetWeightPerFill].[All]" dimensionUniqueName="[BVW_BTItemLot]" displayFolder="" count="0" memberValueDatatype="20" unbalanced="0"/>
    <cacheHierarchy uniqueName="[BVW_BTItemLot].[NetWeightPerUnit]" caption="NetWeightPerUnit" attribute="1" defaultMemberUniqueName="[BVW_BTItemLot].[NetWeightPerUnit].[All]" allUniqueName="[BVW_BTItemLot].[NetWeightPerUnit].[All]" dimensionUniqueName="[BVW_BTItemLot]" displayFolder="" count="0" memberValueDatatype="20" unbalanced="0"/>
    <cacheHierarchy uniqueName="[BVW_BTItemLot].[ProductTareWeight]" caption="ProductTareWeight" attribute="1" defaultMemberUniqueName="[BVW_BTItemLot].[ProductTareWeight].[All]" allUniqueName="[BVW_BTItemLot].[ProductTareWeight].[All]" dimensionUniqueName="[BVW_BTItemLot]" displayFolder="" count="0" memberValueDatatype="20" unbalanced="0"/>
    <cacheHierarchy uniqueName="[BVW_BTItemLot].[LotFacilityID]" caption="LotFacilityID" attribute="1" defaultMemberUniqueName="[BVW_BTItemLot].[LotFacilityID].[All]" allUniqueName="[BVW_BTItemLot].[LotFacilityID].[All]" dimensionUniqueName="[BVW_BTItemLot]" displayFolder="" count="0" memberValueDatatype="130" unbalanced="0"/>
    <cacheHierarchy uniqueName="[BVW_BTItemLot].[ProductionLineID]" caption="ProductionLineID" attribute="1" defaultMemberUniqueName="[BVW_BTItemLot].[ProductionLineID].[All]" allUniqueName="[BVW_BTItemLot].[ProductionLineID].[All]" dimensionUniqueName="[BVW_BTItemLot]" displayFolder="" count="0" memberValueDatatype="130" unbalanced="0"/>
    <cacheHierarchy uniqueName="[BVW_BTItemLot].[LotCreatedDate]" caption="LotCreatedDate" attribute="1" time="1" defaultMemberUniqueName="[BVW_BTItemLot].[LotCreatedDate].[All]" allUniqueName="[BVW_BTItemLot].[LotCreatedDate].[All]" dimensionUniqueName="[BVW_BTItemLot]" displayFolder="" count="0" memberValueDatatype="7" unbalanced="0"/>
    <cacheHierarchy uniqueName="[BVW_BTItemLot].[ICProductAttributeValue01]" caption="ICProductAttributeValue01" attribute="1" defaultMemberUniqueName="[BVW_BTItemLot].[ICProductAttributeValue01].[All]" allUniqueName="[BVW_BTItemLot].[ICProductAttributeValue01].[All]" dimensionUniqueName="[BVW_BTItemLot]" displayFolder="" count="0" memberValueDatatype="130" unbalanced="0"/>
    <cacheHierarchy uniqueName="[BVW_BTItemLot].[ICProductAttributeValue02]" caption="ICProductAttributeValue02" attribute="1" defaultMemberUniqueName="[BVW_BTItemLot].[ICProductAttributeValue02].[All]" allUniqueName="[BVW_BTItemLot].[ICProductAttributeValue02].[All]" dimensionUniqueName="[BVW_BTItemLot]" displayFolder="" count="0" memberValueDatatype="130" unbalanced="0"/>
    <cacheHierarchy uniqueName="[BVW_BTItemLot].[ICProductAttributeValue03]" caption="ICProductAttributeValue03" attribute="1" defaultMemberUniqueName="[BVW_BTItemLot].[ICProductAttributeValue03].[All]" allUniqueName="[BVW_BTItemLot].[ICProductAttributeValue03].[All]" dimensionUniqueName="[BVW_BTItemLot]" displayFolder="" count="0" memberValueDatatype="130" unbalanced="0"/>
    <cacheHierarchy uniqueName="[BVW_BTItemLot].[ICProductAttributeValue04]" caption="ICProductAttributeValue04" attribute="1" defaultMemberUniqueName="[BVW_BTItemLot].[ICProductAttributeValue04].[All]" allUniqueName="[BVW_BTItemLot].[ICProductAttributeValue04].[All]" dimensionUniqueName="[BVW_BTItemLot]" displayFolder="" count="0" memberValueDatatype="130" unbalanced="0"/>
    <cacheHierarchy uniqueName="[BVW_BTItemLot].[ICProductAttributeValue05]" caption="ICProductAttributeValue05" attribute="1" defaultMemberUniqueName="[BVW_BTItemLot].[ICProductAttributeValue05].[All]" allUniqueName="[BVW_BTItemLot].[ICProductAttributeValue05].[All]" dimensionUniqueName="[BVW_BTItemLot]" displayFolder="" count="0" memberValueDatatype="130" unbalanced="0"/>
    <cacheHierarchy uniqueName="[BVW_BTItemLot].[ICProductAttributeValue06]" caption="ICProductAttributeValue06" attribute="1" defaultMemberUniqueName="[BVW_BTItemLot].[ICProductAttributeValue06].[All]" allUniqueName="[BVW_BTItemLot].[ICProductAttributeValue06].[All]" dimensionUniqueName="[BVW_BTItemLot]" displayFolder="" count="0" memberValueDatatype="130" unbalanced="0"/>
    <cacheHierarchy uniqueName="[BVW_BTItemLot].[ICProductAttributeValue07]" caption="ICProductAttributeValue07" attribute="1" defaultMemberUniqueName="[BVW_BTItemLot].[ICProductAttributeValue07].[All]" allUniqueName="[BVW_BTItemLot].[ICProductAttributeValue07].[All]" dimensionUniqueName="[BVW_BTItemLot]" displayFolder="" count="0" memberValueDatatype="130" unbalanced="0"/>
    <cacheHierarchy uniqueName="[Measures].[UPDATE_AGE]" caption="UPDATE_AGE" measure="1" displayFolder="" measureGroup="BVW_BTItemLot" count="0" oneField="1">
      <fieldsUsage count="1">
        <fieldUsage x="7"/>
      </fieldsUsage>
    </cacheHierarchy>
    <cacheHierarchy uniqueName="[Measures].[Bin Number]" caption="Bin Number" measure="1" displayFolder="" measureGroup="BVW_BTItemLot" count="0" oneField="1">
      <fieldsUsage count="1">
        <fieldUsage x="6"/>
      </fieldsUsage>
    </cacheHierarchy>
    <cacheHierarchy uniqueName="[Measures].[LOT CODE]" caption="LOT CODE" measure="1" displayFolder="" measureGroup="BVW_BTItemLot" count="0" oneField="1">
      <fieldsUsage count="1">
        <fieldUsage x="9"/>
      </fieldsUsage>
    </cacheHierarchy>
    <cacheHierarchy uniqueName="[Measures].[__XL_Count BVW_BTItemLot]" caption="__XL_Count BVW_BTItemLot" measure="1" displayFolder="" measureGroup="BVW_BTItemLot" count="0" hidden="1"/>
    <cacheHierarchy uniqueName="[Measures].[__No measures defined]" caption="__No measures defined" measure="1" displayFolder="" count="0" hidden="1"/>
    <cacheHierarchy uniqueName="[Measures].[Sum of Fill]" caption="Sum of Fill" measure="1" displayFolder="" measureGroup="BVW_BTItemLot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Units]" caption="Sum of Units" measure="1" displayFolder="" measureGroup="BVW_BTItemLot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areWeight]" caption="Sum of TareWeight" measure="1" displayFolder="" measureGroup="BVW_BTItemLot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BVW_BTItemLot" uniqueName="[BVW_BTItemLot]" caption="BVW_BTItemLot"/>
    <dimension measure="1" name="Measures" uniqueName="[Measures]" caption="Measures"/>
  </dimensions>
  <measureGroups count="1">
    <measureGroup name="BVW_BTItemLot" caption="BVW_BTItemLo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5CE55-93B1-48B2-B3CB-722714AD7F94}" name="PivotTable3" cacheId="12" applyNumberFormats="0" applyBorderFormats="0" applyFontFormats="0" applyPatternFormats="0" applyAlignmentFormats="0" applyWidthHeightFormats="1" dataCaption="Values" tag="2d3877ba-fe88-4d3f-a54f-60c87715130a" updatedVersion="8" minRefreshableVersion="3" useAutoFormatting="1" subtotalHiddenItems="1" itemPrintTitles="1" createdVersion="8" indent="0" outline="1" outlineData="1" multipleFieldFilters="0" chartFormat="2">
  <location ref="A4:G9" firstHeaderRow="0" firstDataRow="1" firstDataCol="1" rowPageCount="2" colPageCount="1"/>
  <pivotFields count="11">
    <pivotField axis="axisRow" allDrilled="1" showAll="0" dataSourceSort="1" defaultAttributeDrillState="1">
      <items count="3">
        <item x="0" e="0"/>
        <item x="1" e="0"/>
        <item t="default"/>
      </items>
    </pivotField>
    <pivotField axis="axisRow" allDrilled="1" showAll="0" defaultAttributeDrillState="1">
      <items count="3">
        <item x="0"/>
        <item x="1"/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5">
        <item s="1" x="0" e="0"/>
        <item s="1" x="1" e="0"/>
        <item s="1" x="2" e="0"/>
        <item s="1" x="3" e="0"/>
        <item t="default"/>
      </items>
    </pivotField>
    <pivotField dataField="1" subtotalTop="0" showAll="0" defaultSubtotal="0"/>
    <pivotField axis="axisPage" allDrilled="1" showAll="0" dataSourceSort="1" defaultAttributeDrillState="1">
      <items count="1">
        <item t="default"/>
      </items>
    </pivotField>
    <pivotField dataField="1" subtotalTop="0" showAll="0" defaultSubtotal="0"/>
    <pivotField dataField="1" showAll="0"/>
    <pivotField dataField="1" showAll="0"/>
    <pivotField dataField="1" showAll="0"/>
    <pivotField dataField="1" showAll="0"/>
  </pivotFields>
  <rowFields count="3">
    <field x="3"/>
    <field x="0"/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2" hier="5" name="[BVW_BTItemLot].[ItemStatus].&amp;[Available]" cap="Available"/>
    <pageField fld="5" hier="10" name="[BVW_BTItemLot].[isOld].&amp;[True]" cap="True"/>
  </pageFields>
  <dataFields count="6">
    <dataField fld="7" subtotal="count" baseField="0" baseItem="0"/>
    <dataField name="Sum of Units" fld="8" baseField="0" baseItem="0"/>
    <dataField fld="9" subtotal="count" baseField="0" baseItem="0"/>
    <dataField fld="6" subtotal="count" baseField="0" baseItem="0"/>
    <dataField name="Sum of TareWeight" fld="10" baseField="0" baseItem="0"/>
    <dataField name="Sum of Fill" fld="4" baseField="0" baseItem="0" numFmtId="3"/>
  </dataFields>
  <formats count="10">
    <format dxfId="24">
      <pivotArea dataOnly="0" outline="0" fieldPosition="0">
        <references count="1">
          <reference field="4294967294" count="1">
            <x v="3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7">
      <pivotArea dataOnly="0" labelOnly="1" fieldPosition="0">
        <references count="2">
          <reference field="0" count="1">
            <x v="1"/>
          </reference>
          <reference field="3" count="1" selected="0">
            <x v="1"/>
          </reference>
        </references>
      </pivotArea>
    </format>
    <format dxfId="16">
      <pivotArea dataOnly="0" labelOnly="1" fieldPosition="0">
        <references count="2">
          <reference field="0" count="1">
            <x v="1"/>
          </reference>
          <reference field="3" count="1" selected="0">
            <x v="1"/>
          </reference>
        </references>
      </pivotArea>
    </format>
    <format dxfId="15">
      <pivotArea dataOnly="0" labelOnly="1" fieldPosition="0">
        <references count="2">
          <reference field="0" count="1">
            <x v="1"/>
          </reference>
          <reference field="3" count="1" selected="0">
            <x v="1"/>
          </reference>
        </references>
      </pivotArea>
    </format>
  </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22"/>
    <rowHierarchyUsage hierarchyUsage="31"/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iddle Room Current Inventory.xlsx!BVW_BTItemLot">
        <x15:activeTabTopLevelEntity name="[BVW_BTItemLot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5807D8-C3CA-4427-82C8-97DA17FAF61C}" autoFormatId="16" applyNumberFormats="0" applyBorderFormats="0" applyFontFormats="0" applyPatternFormats="0" applyAlignmentFormats="0" applyWidthHeightFormats="0">
  <queryTableRefresh nextId="53">
    <queryTableFields count="48">
      <queryTableField id="1" name="Units" tableColumnId="46"/>
      <queryTableField id="2" name="Fill" tableColumnId="2"/>
      <queryTableField id="3" name="TareWeight" tableColumnId="3"/>
      <queryTableField id="4" name="ItemTypeID" tableColumnId="4"/>
      <queryTableField id="5" name="ItemID" tableColumnId="5"/>
      <queryTableField id="6" name="ItemStatus" tableColumnId="6"/>
      <queryTableField id="7" name="IsOnHold" tableColumnId="7"/>
      <queryTableField id="51" dataBound="0" tableColumnId="1"/>
      <queryTableField id="8" name="CreatedDateTime" tableColumnId="8"/>
      <queryTableField id="9" name="CreatedBy" tableColumnId="9"/>
      <queryTableField id="52" dataBound="0" tableColumnId="35"/>
      <queryTableField id="46" dataBound="0" tableColumnId="47"/>
      <queryTableField id="10" name="UpdatedDateTime" tableColumnId="10"/>
      <queryTableField id="11" name="UpdatedBy" tableColumnId="11"/>
      <queryTableField id="12" name="ItemUserField01" tableColumnId="12"/>
      <queryTableField id="13" name="ItemUserField02" tableColumnId="13"/>
      <queryTableField id="14" name="ItemUserField03" tableColumnId="14"/>
      <queryTableField id="15" name="ItemUserField04" tableColumnId="15"/>
      <queryTableField id="16" name="FacilityID" tableColumnId="16"/>
      <queryTableField id="17" name="FacilityName" tableColumnId="17"/>
      <queryTableField id="18" name="FacilityTypeDisplayID" tableColumnId="18"/>
      <queryTableField id="19" name="LocationTypeID" tableColumnId="19"/>
      <queryTableField id="20" name="LocationID" tableColumnId="20"/>
      <queryTableField id="21" name="Room" tableColumnId="21"/>
      <queryTableField id="22" name="Aisle" tableColumnId="22"/>
      <queryTableField id="23" name="Layer" tableColumnId="23"/>
      <queryTableField id="24" name="Slot" tableColumnId="24"/>
      <queryTableField id="25" name="LotID" tableColumnId="25"/>
      <queryTableField id="26" name="LotCode" tableColumnId="26"/>
      <queryTableField id="27" name="ProductID" tableColumnId="27"/>
      <queryTableField id="28" name="ProductName01" tableColumnId="28"/>
      <queryTableField id="29" name="ProductIDProductName01" tableColumnId="29"/>
      <queryTableField id="30" name="IsFillPerUnitUniform" tableColumnId="30"/>
      <queryTableField id="31" name="IsNetWeightPerFillUniform" tableColumnId="31"/>
      <queryTableField id="32" name="FillPerUnit" tableColumnId="32"/>
      <queryTableField id="33" name="NetWeightPerFill" tableColumnId="33"/>
      <queryTableField id="34" name="NetWeightPerUnit" tableColumnId="34"/>
      <queryTableField id="47" name="ProductTareWeight" tableColumnId="48"/>
      <queryTableField id="48" name="LotFacilityID" tableColumnId="49"/>
      <queryTableField id="37" name="ProductionLineID" tableColumnId="37"/>
      <queryTableField id="38" name="LotCreatedDate" tableColumnId="38"/>
      <queryTableField id="39" name="ICProductAttributeValue01" tableColumnId="39"/>
      <queryTableField id="40" name="ICProductAttributeValue02" tableColumnId="40"/>
      <queryTableField id="41" name="ICProductAttributeValue03" tableColumnId="41"/>
      <queryTableField id="42" name="ICProductAttributeValue04" tableColumnId="42"/>
      <queryTableField id="43" name="ICProductAttributeValue05" tableColumnId="43"/>
      <queryTableField id="44" name="ICProductAttributeValue06" tableColumnId="44"/>
      <queryTableField id="45" name="ICProductAttributeValue07" tableColumnId="45"/>
    </queryTableFields>
    <queryTableDeletedFields count="2">
      <deletedField name="ProductTareWeight"/>
      <deletedField name="LotFacility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F1583-00B9-4D07-848C-19F5F310CFDD}" name="BVW_BTItemLot" displayName="BVW_BTItemLot" ref="A1:AV105" tableType="queryTable" totalsRowShown="0">
  <autoFilter ref="A1:AV105" xr:uid="{733F1583-00B9-4D07-848C-19F5F310CFDD}">
    <filterColumn colId="5">
      <filters>
        <filter val="Available"/>
      </filters>
    </filterColumn>
  </autoFilter>
  <sortState xmlns:xlrd2="http://schemas.microsoft.com/office/spreadsheetml/2017/richdata2" ref="A2:AV105">
    <sortCondition descending="1" ref="H1:H105"/>
  </sortState>
  <tableColumns count="48">
    <tableColumn id="46" xr3:uid="{59EBADE1-84E7-49D1-82C3-370A0B99B06B}" uniqueName="46" name="Units" queryTableFieldId="1"/>
    <tableColumn id="2" xr3:uid="{BFEFF876-10AA-4F3E-B639-85CC29CA64F0}" uniqueName="2" name="Fill" queryTableFieldId="2"/>
    <tableColumn id="3" xr3:uid="{D576E53A-4CC0-4EAD-BDFC-8CB663E58BE5}" uniqueName="3" name="TareWeight" queryTableFieldId="3"/>
    <tableColumn id="4" xr3:uid="{0EE888A9-B17E-47D7-8829-D475EED697B2}" uniqueName="4" name="ItemTypeID" queryTableFieldId="4" dataDxfId="57"/>
    <tableColumn id="5" xr3:uid="{6651BF9F-8191-42EF-A38E-299A6118E1A8}" uniqueName="5" name="ItemID" queryTableFieldId="5" dataDxfId="56"/>
    <tableColumn id="6" xr3:uid="{3B02DDEC-5927-4543-802A-879EF72AB7D2}" uniqueName="6" name="ItemStatus" queryTableFieldId="6" dataDxfId="55"/>
    <tableColumn id="7" xr3:uid="{EAFD767C-DA8B-41BE-A52E-11AF9EAF5E03}" uniqueName="7" name="IsOnHold" queryTableFieldId="7"/>
    <tableColumn id="1" xr3:uid="{D7E6484C-7ABA-4A4D-AC90-0D548A50189C}" uniqueName="1" name="ActualTime" queryTableFieldId="51" dataDxfId="14">
      <calculatedColumnFormula>BVW_BTItemLot[[#This Row],[CreatedDateTime]]-TIME(7,0,0)</calculatedColumnFormula>
    </tableColumn>
    <tableColumn id="8" xr3:uid="{2292026B-8136-4217-AB9A-B40AD04758B8}" uniqueName="8" name="CreatedDateTime" queryTableFieldId="8" dataDxfId="13"/>
    <tableColumn id="9" xr3:uid="{BF8C2054-88B1-4127-9527-5BC39A5A3664}" uniqueName="9" name="CreatedBy" queryTableFieldId="9" dataDxfId="54"/>
    <tableColumn id="35" xr3:uid="{AE304D5C-99C3-4B92-A8EA-8FF79A6FD6A5}" uniqueName="35" name="isOld" queryTableFieldId="52" dataDxfId="53">
      <calculatedColumnFormula>IF(BVW_BTItemLot[[#This Row],[Age]] &gt; 5, TRUE, FALSE)</calculatedColumnFormula>
    </tableColumn>
    <tableColumn id="47" xr3:uid="{7D151CFE-9FFB-4133-A0E2-8EA1E6FACFFF}" uniqueName="47" name="Age" queryTableFieldId="46" dataDxfId="12">
      <calculatedColumnFormula>ROUND(NOW()-BVW_BTItemLot[[#This Row],[UpdatedDateTime]],2)</calculatedColumnFormula>
    </tableColumn>
    <tableColumn id="10" xr3:uid="{E597EAC6-7744-4834-B754-42C886112228}" uniqueName="10" name="UpdatedDateTime" queryTableFieldId="10" dataDxfId="11"/>
    <tableColumn id="11" xr3:uid="{F9A34448-DA39-48F0-BD45-2C6EBC786FD9}" uniqueName="11" name="UpdatedBy" queryTableFieldId="11" dataDxfId="52"/>
    <tableColumn id="12" xr3:uid="{8BB479D8-F361-4F15-A02C-D56917A178B4}" uniqueName="12" name="ItemUserField01" queryTableFieldId="12" dataDxfId="51"/>
    <tableColumn id="13" xr3:uid="{53694B90-732F-4B0D-A828-6EA477382540}" uniqueName="13" name="ItemUserField02" queryTableFieldId="13" dataDxfId="50"/>
    <tableColumn id="14" xr3:uid="{DCFA0AEE-CBB3-4191-8E96-E4AAABA6C983}" uniqueName="14" name="ItemUserField03" queryTableFieldId="14" dataDxfId="49"/>
    <tableColumn id="15" xr3:uid="{030B6F11-59D9-47DD-AC0B-25462524DAF0}" uniqueName="15" name="ItemUserField04" queryTableFieldId="15" dataDxfId="48"/>
    <tableColumn id="16" xr3:uid="{C1FF4306-7C4D-4F41-B46F-480B39B4045B}" uniqueName="16" name="FacilityID" queryTableFieldId="16" dataDxfId="47"/>
    <tableColumn id="17" xr3:uid="{3C5A4C0C-9FCD-4557-917E-497C811132F6}" uniqueName="17" name="FacilityName" queryTableFieldId="17" dataDxfId="46"/>
    <tableColumn id="18" xr3:uid="{E3A268A6-228B-4964-85AB-A795BE509DA0}" uniqueName="18" name="FacilityTypeDisplayID" queryTableFieldId="18" dataDxfId="45"/>
    <tableColumn id="19" xr3:uid="{5D8BCF97-D365-491C-AE0C-D9FAC9E1D46E}" uniqueName="19" name="LocationTypeID" queryTableFieldId="19" dataDxfId="44"/>
    <tableColumn id="20" xr3:uid="{72DBECCD-9675-45D7-BE65-50AA091BB59E}" uniqueName="20" name="LocationID" queryTableFieldId="20" dataDxfId="43"/>
    <tableColumn id="21" xr3:uid="{EA18F04F-68B2-47E3-AE22-E38743A2DC90}" uniqueName="21" name="Room" queryTableFieldId="21" dataDxfId="42"/>
    <tableColumn id="22" xr3:uid="{FB17F710-EBA8-4FFA-ADE2-092B69D0BFDA}" uniqueName="22" name="Aisle" queryTableFieldId="22" dataDxfId="41"/>
    <tableColumn id="23" xr3:uid="{E9E795B2-2400-497D-90CE-C0D6E8CA366B}" uniqueName="23" name="Layer" queryTableFieldId="23" dataDxfId="40"/>
    <tableColumn id="24" xr3:uid="{4F4E4744-F5E3-4AF3-BB20-8364F00F5927}" uniqueName="24" name="Slot" queryTableFieldId="24" dataDxfId="39"/>
    <tableColumn id="25" xr3:uid="{D1664A6F-4704-41D1-B37B-DFEA6B200334}" uniqueName="25" name="LotID" queryTableFieldId="25" dataDxfId="38"/>
    <tableColumn id="26" xr3:uid="{0648A100-0567-4FEB-BC7B-0784391177F2}" uniqueName="26" name="LotCode" queryTableFieldId="26" dataDxfId="37"/>
    <tableColumn id="27" xr3:uid="{D3C15E61-589B-40A3-911E-3E47DD908AF1}" uniqueName="27" name="ProductID" queryTableFieldId="27" dataDxfId="36"/>
    <tableColumn id="28" xr3:uid="{6EA6CC2B-8012-4621-A5E0-FE0E7BACC7DC}" uniqueName="28" name="ProductName01" queryTableFieldId="28" dataDxfId="35"/>
    <tableColumn id="29" xr3:uid="{46CD0924-9DE7-4F28-9C5B-FAB68A7476B2}" uniqueName="29" name="ProductIDProductName01" queryTableFieldId="29" dataDxfId="34"/>
    <tableColumn id="30" xr3:uid="{EE77237A-1575-40C1-A15F-9780C2094CDC}" uniqueName="30" name="IsFillPerUnitUniform" queryTableFieldId="30"/>
    <tableColumn id="31" xr3:uid="{93983FD5-B042-444B-BA83-73693B2C84D7}" uniqueName="31" name="IsNetWeightPerFillUniform" queryTableFieldId="31"/>
    <tableColumn id="32" xr3:uid="{E188DE30-B925-43DF-BD20-BE97C49ADBAF}" uniqueName="32" name="FillPerUnit" queryTableFieldId="32"/>
    <tableColumn id="33" xr3:uid="{070D12AA-4DA1-4252-86B8-3E2BF7B49EA2}" uniqueName="33" name="NetWeightPerFill" queryTableFieldId="33"/>
    <tableColumn id="34" xr3:uid="{0CCCE0FB-BCE2-470F-BDAE-023ABAE5F846}" uniqueName="34" name="NetWeightPerUnit" queryTableFieldId="34"/>
    <tableColumn id="48" xr3:uid="{B792726B-5F22-40F2-BC68-5C9CD8945D35}" uniqueName="48" name="ProductTareWeight" queryTableFieldId="47"/>
    <tableColumn id="49" xr3:uid="{8B417E54-E5CD-4188-864E-72DBAB482988}" uniqueName="49" name="LotFacilityID" queryTableFieldId="48" dataDxfId="33"/>
    <tableColumn id="37" xr3:uid="{DF383743-07AF-4BDC-A14C-CA7BA876259B}" uniqueName="37" name="ProductionLineID" queryTableFieldId="37" dataDxfId="32"/>
    <tableColumn id="38" xr3:uid="{5E735792-DE9D-4B69-BC4F-EB8A2DBFA3EF}" uniqueName="38" name="LotCreatedDate" queryTableFieldId="38" dataDxfId="10"/>
    <tableColumn id="39" xr3:uid="{E9833BA2-D852-42A0-A66E-F0505BB68DEC}" uniqueName="39" name="ICProductAttributeValue01" queryTableFieldId="39" dataDxfId="31"/>
    <tableColumn id="40" xr3:uid="{94C2C204-513C-4825-81E8-695D65C6F356}" uniqueName="40" name="ICProductAttributeValue02" queryTableFieldId="40" dataDxfId="30"/>
    <tableColumn id="41" xr3:uid="{F6A6EC1E-823F-4258-955D-6DDB39885F53}" uniqueName="41" name="ICProductAttributeValue03" queryTableFieldId="41" dataDxfId="29"/>
    <tableColumn id="42" xr3:uid="{5CE8EA14-3B4D-4AFA-80FA-784EC19F479F}" uniqueName="42" name="ICProductAttributeValue04" queryTableFieldId="42" dataDxfId="28"/>
    <tableColumn id="43" xr3:uid="{D1D995ED-503C-4763-A631-714A568049AE}" uniqueName="43" name="ICProductAttributeValue05" queryTableFieldId="43" dataDxfId="27"/>
    <tableColumn id="44" xr3:uid="{0C1FCFC3-2F48-4D6D-9C61-D26064AE079F}" uniqueName="44" name="ICProductAttributeValue06" queryTableFieldId="44" dataDxfId="26"/>
    <tableColumn id="45" xr3:uid="{D4EECB9D-9B4F-49AC-9B35-3E65DE4BFBA9}" uniqueName="45" name="ICProductAttributeValue07" queryTableFieldId="45" dataDxf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0FCF-018A-4B7E-99B5-01725CAFCB7F}">
  <dimension ref="A1:AV105"/>
  <sheetViews>
    <sheetView workbookViewId="0">
      <selection sqref="A1:AV202"/>
    </sheetView>
  </sheetViews>
  <sheetFormatPr defaultRowHeight="14.4" x14ac:dyDescent="0.55000000000000004"/>
  <cols>
    <col min="1" max="1" width="7.41796875" bestFit="1" customWidth="1"/>
    <col min="2" max="2" width="5.578125" bestFit="1" customWidth="1"/>
    <col min="3" max="3" width="12.68359375" bestFit="1" customWidth="1"/>
    <col min="4" max="4" width="12.578125" bestFit="1" customWidth="1"/>
    <col min="5" max="5" width="12.734375" bestFit="1" customWidth="1"/>
    <col min="6" max="6" width="11.89453125" bestFit="1" customWidth="1"/>
    <col min="7" max="7" width="10.578125" bestFit="1" customWidth="1"/>
    <col min="8" max="8" width="14.15625" bestFit="1" customWidth="1"/>
    <col min="9" max="9" width="17.578125" bestFit="1" customWidth="1"/>
    <col min="10" max="10" width="11.5234375" bestFit="1" customWidth="1"/>
    <col min="11" max="11" width="7.3125" style="2" bestFit="1" customWidth="1"/>
    <col min="12" max="12" width="6.26171875" bestFit="1" customWidth="1"/>
    <col min="13" max="13" width="18.3671875" bestFit="1" customWidth="1"/>
    <col min="14" max="15" width="18.15625" hidden="1" customWidth="1"/>
    <col min="16" max="17" width="16.7890625" bestFit="1" customWidth="1"/>
    <col min="18" max="18" width="11.41796875" hidden="1" customWidth="1"/>
    <col min="19" max="19" width="14.83984375" hidden="1" customWidth="1"/>
    <col min="20" max="20" width="22.41796875" hidden="1" customWidth="1"/>
    <col min="21" max="21" width="17" hidden="1" customWidth="1"/>
    <col min="22" max="22" width="15.734375" bestFit="1" customWidth="1"/>
    <col min="23" max="23" width="11.62890625" bestFit="1" customWidth="1"/>
    <col min="24" max="24" width="7.83984375" bestFit="1" customWidth="1"/>
    <col min="25" max="25" width="7.15625" bestFit="1" customWidth="1"/>
    <col min="26" max="26" width="7.41796875" bestFit="1" customWidth="1"/>
    <col min="27" max="27" width="6.26171875" bestFit="1" customWidth="1"/>
    <col min="28" max="28" width="27.05078125" bestFit="1" customWidth="1"/>
    <col min="29" max="29" width="9.7890625" bestFit="1" customWidth="1"/>
    <col min="30" max="30" width="11.1015625" bestFit="1" customWidth="1"/>
    <col min="31" max="31" width="47.26171875" hidden="1" customWidth="1"/>
    <col min="32" max="32" width="31.5234375" bestFit="1" customWidth="1"/>
    <col min="33" max="33" width="28.26171875" hidden="1" customWidth="1"/>
    <col min="34" max="34" width="26.1015625" bestFit="1" customWidth="1"/>
    <col min="35" max="35" width="11.89453125" bestFit="1" customWidth="1"/>
    <col min="36" max="36" width="17.578125" bestFit="1" customWidth="1"/>
    <col min="37" max="37" width="18.734375" bestFit="1" customWidth="1"/>
    <col min="38" max="38" width="19.26171875" bestFit="1" customWidth="1"/>
    <col min="39" max="39" width="13.1015625" bestFit="1" customWidth="1"/>
    <col min="40" max="40" width="17.3125" bestFit="1" customWidth="1"/>
    <col min="41" max="41" width="16" bestFit="1" customWidth="1"/>
    <col min="42" max="48" width="25.47265625" bestFit="1" customWidth="1"/>
  </cols>
  <sheetData>
    <row r="1" spans="1:4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90</v>
      </c>
      <c r="I1" t="s">
        <v>7</v>
      </c>
      <c r="J1" t="s">
        <v>8</v>
      </c>
      <c r="K1" t="s">
        <v>94</v>
      </c>
      <c r="L1" s="2" t="s">
        <v>89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</row>
    <row r="2" spans="1:48" x14ac:dyDescent="0.55000000000000004">
      <c r="A2">
        <v>1</v>
      </c>
      <c r="B2">
        <v>8</v>
      </c>
      <c r="C2">
        <v>12</v>
      </c>
      <c r="D2" t="s">
        <v>45</v>
      </c>
      <c r="E2" t="s">
        <v>422</v>
      </c>
      <c r="F2" t="s">
        <v>46</v>
      </c>
      <c r="G2" t="b">
        <v>0</v>
      </c>
      <c r="H2" s="1">
        <f>BVW_BTItemLot[[#This Row],[CreatedDateTime]]-TIME(7,0,0)</f>
        <v>45832.996738969909</v>
      </c>
      <c r="I2" s="1">
        <v>45833.288405636573</v>
      </c>
      <c r="J2" t="s">
        <v>103</v>
      </c>
      <c r="K2" t="b">
        <f ca="1">IF(BVW_BTItemLot[[#This Row],[Age]] &gt; 5, TRUE, FALSE)</f>
        <v>0</v>
      </c>
      <c r="L2" s="2">
        <f ca="1">ROUND(NOW()-BVW_BTItemLot[[#This Row],[UpdatedDateTime]],2)</f>
        <v>0.06</v>
      </c>
      <c r="M2" s="1">
        <v>45833.288405821761</v>
      </c>
      <c r="N2" t="s">
        <v>103</v>
      </c>
      <c r="Q2" t="s">
        <v>423</v>
      </c>
      <c r="S2" t="s">
        <v>47</v>
      </c>
      <c r="T2" t="s">
        <v>48</v>
      </c>
      <c r="U2" t="s">
        <v>49</v>
      </c>
      <c r="V2" t="s">
        <v>49</v>
      </c>
      <c r="W2" t="s">
        <v>58</v>
      </c>
      <c r="X2" t="s">
        <v>50</v>
      </c>
      <c r="Y2" t="s">
        <v>59</v>
      </c>
      <c r="AB2" t="s">
        <v>424</v>
      </c>
      <c r="AC2" t="s">
        <v>425</v>
      </c>
      <c r="AD2" t="s">
        <v>426</v>
      </c>
      <c r="AE2" t="s">
        <v>427</v>
      </c>
      <c r="AF2" t="s">
        <v>428</v>
      </c>
      <c r="AG2" t="b">
        <v>0</v>
      </c>
      <c r="AH2" t="b">
        <v>1</v>
      </c>
      <c r="AI2">
        <v>8</v>
      </c>
      <c r="AJ2">
        <v>1</v>
      </c>
      <c r="AK2">
        <v>8</v>
      </c>
      <c r="AL2">
        <v>0</v>
      </c>
      <c r="AM2" t="s">
        <v>47</v>
      </c>
      <c r="AN2" t="s">
        <v>68</v>
      </c>
      <c r="AO2" s="1">
        <v>45833.288405636573</v>
      </c>
      <c r="AP2" t="s">
        <v>51</v>
      </c>
      <c r="AQ2" t="s">
        <v>421</v>
      </c>
      <c r="AR2" t="s">
        <v>52</v>
      </c>
    </row>
    <row r="3" spans="1:48" x14ac:dyDescent="0.55000000000000004">
      <c r="A3">
        <v>1</v>
      </c>
      <c r="B3">
        <v>5</v>
      </c>
      <c r="C3">
        <v>8</v>
      </c>
      <c r="D3" t="s">
        <v>45</v>
      </c>
      <c r="E3" t="s">
        <v>429</v>
      </c>
      <c r="F3" t="s">
        <v>46</v>
      </c>
      <c r="G3" t="b">
        <v>0</v>
      </c>
      <c r="H3" s="1">
        <f>BVW_BTItemLot[[#This Row],[CreatedDateTime]]-TIME(7,0,0)</f>
        <v>45832.996263425928</v>
      </c>
      <c r="I3" s="1">
        <v>45833.287930092592</v>
      </c>
      <c r="J3" t="s">
        <v>62</v>
      </c>
      <c r="K3" t="b">
        <f ca="1">IF(BVW_BTItemLot[[#This Row],[Age]] &gt; 5, TRUE, FALSE)</f>
        <v>0</v>
      </c>
      <c r="L3" s="2">
        <f ca="1">ROUND(NOW()-BVW_BTItemLot[[#This Row],[UpdatedDateTime]],2)</f>
        <v>0.06</v>
      </c>
      <c r="M3" s="1">
        <v>45833.287930289349</v>
      </c>
      <c r="N3" t="s">
        <v>62</v>
      </c>
      <c r="Q3" t="s">
        <v>423</v>
      </c>
      <c r="S3" t="s">
        <v>47</v>
      </c>
      <c r="T3" t="s">
        <v>48</v>
      </c>
      <c r="U3" t="s">
        <v>49</v>
      </c>
      <c r="V3" t="s">
        <v>49</v>
      </c>
      <c r="W3" t="s">
        <v>146</v>
      </c>
      <c r="X3" t="s">
        <v>50</v>
      </c>
      <c r="Y3" t="s">
        <v>63</v>
      </c>
      <c r="Z3" t="s">
        <v>147</v>
      </c>
      <c r="AB3" t="s">
        <v>430</v>
      </c>
      <c r="AC3" t="s">
        <v>431</v>
      </c>
      <c r="AD3" t="s">
        <v>426</v>
      </c>
      <c r="AE3" t="s">
        <v>427</v>
      </c>
      <c r="AF3" t="s">
        <v>428</v>
      </c>
      <c r="AG3" t="b">
        <v>0</v>
      </c>
      <c r="AH3" t="b">
        <v>1</v>
      </c>
      <c r="AI3">
        <v>5</v>
      </c>
      <c r="AJ3">
        <v>1</v>
      </c>
      <c r="AK3">
        <v>5</v>
      </c>
      <c r="AL3">
        <v>0</v>
      </c>
      <c r="AM3" t="s">
        <v>47</v>
      </c>
      <c r="AN3" t="s">
        <v>60</v>
      </c>
      <c r="AO3" s="1">
        <v>45833.287930092592</v>
      </c>
      <c r="AP3" t="s">
        <v>51</v>
      </c>
      <c r="AQ3" t="s">
        <v>421</v>
      </c>
      <c r="AR3" t="s">
        <v>52</v>
      </c>
    </row>
    <row r="4" spans="1:48" x14ac:dyDescent="0.55000000000000004">
      <c r="A4">
        <v>1</v>
      </c>
      <c r="B4">
        <v>1400</v>
      </c>
      <c r="C4">
        <v>185</v>
      </c>
      <c r="D4" t="s">
        <v>45</v>
      </c>
      <c r="E4" t="s">
        <v>432</v>
      </c>
      <c r="F4" t="s">
        <v>46</v>
      </c>
      <c r="G4" t="b">
        <v>0</v>
      </c>
      <c r="H4" s="1">
        <f>BVW_BTItemLot[[#This Row],[CreatedDateTime]]-TIME(7,0,0)</f>
        <v>45832.977799502318</v>
      </c>
      <c r="I4" s="1">
        <v>45833.269466168982</v>
      </c>
      <c r="J4" t="s">
        <v>326</v>
      </c>
      <c r="K4" t="b">
        <f ca="1">IF(BVW_BTItemLot[[#This Row],[Age]] &gt; 5, TRUE, FALSE)</f>
        <v>0</v>
      </c>
      <c r="L4" s="2">
        <f ca="1">ROUND(NOW()-BVW_BTItemLot[[#This Row],[UpdatedDateTime]],2)</f>
        <v>0.08</v>
      </c>
      <c r="M4" s="1">
        <v>45833.269864814814</v>
      </c>
      <c r="N4" t="s">
        <v>326</v>
      </c>
      <c r="O4" t="s">
        <v>149</v>
      </c>
      <c r="Q4" t="s">
        <v>433</v>
      </c>
      <c r="S4" t="s">
        <v>47</v>
      </c>
      <c r="T4" t="s">
        <v>48</v>
      </c>
      <c r="U4" t="s">
        <v>49</v>
      </c>
      <c r="V4" t="s">
        <v>49</v>
      </c>
      <c r="W4" t="s">
        <v>58</v>
      </c>
      <c r="X4" t="s">
        <v>50</v>
      </c>
      <c r="Y4" t="s">
        <v>59</v>
      </c>
      <c r="AB4" t="s">
        <v>434</v>
      </c>
      <c r="AC4" t="s">
        <v>435</v>
      </c>
      <c r="AD4" t="s">
        <v>108</v>
      </c>
      <c r="AE4" t="s">
        <v>109</v>
      </c>
      <c r="AF4" t="s">
        <v>110</v>
      </c>
      <c r="AG4" t="b">
        <v>0</v>
      </c>
      <c r="AH4" t="b">
        <v>1</v>
      </c>
      <c r="AI4">
        <v>1400</v>
      </c>
      <c r="AJ4">
        <v>1</v>
      </c>
      <c r="AK4">
        <v>1400</v>
      </c>
      <c r="AL4">
        <v>0</v>
      </c>
      <c r="AM4" t="s">
        <v>47</v>
      </c>
      <c r="AN4" t="s">
        <v>150</v>
      </c>
      <c r="AO4" s="1">
        <v>45833.269466168982</v>
      </c>
      <c r="AP4" t="s">
        <v>51</v>
      </c>
      <c r="AQ4" t="s">
        <v>45</v>
      </c>
      <c r="AR4" t="s">
        <v>52</v>
      </c>
      <c r="AS4" t="s">
        <v>79</v>
      </c>
      <c r="AU4" t="s">
        <v>54</v>
      </c>
    </row>
    <row r="5" spans="1:48" x14ac:dyDescent="0.55000000000000004">
      <c r="A5">
        <v>1</v>
      </c>
      <c r="B5">
        <v>5</v>
      </c>
      <c r="C5">
        <v>8</v>
      </c>
      <c r="D5" t="s">
        <v>45</v>
      </c>
      <c r="E5" t="s">
        <v>436</v>
      </c>
      <c r="F5" t="s">
        <v>46</v>
      </c>
      <c r="G5" t="b">
        <v>0</v>
      </c>
      <c r="H5" s="1">
        <f>BVW_BTItemLot[[#This Row],[CreatedDateTime]]-TIME(7,0,0)</f>
        <v>45832.972864502321</v>
      </c>
      <c r="I5" s="1">
        <v>45833.264531168985</v>
      </c>
      <c r="J5" t="s">
        <v>115</v>
      </c>
      <c r="K5" t="b">
        <f ca="1">IF(BVW_BTItemLot[[#This Row],[Age]] &gt; 5, TRUE, FALSE)</f>
        <v>0</v>
      </c>
      <c r="L5" s="2">
        <f ca="1">ROUND(NOW()-BVW_BTItemLot[[#This Row],[UpdatedDateTime]],2)</f>
        <v>0.09</v>
      </c>
      <c r="M5" s="1">
        <v>45833.264531400462</v>
      </c>
      <c r="N5" t="s">
        <v>115</v>
      </c>
      <c r="Q5" t="s">
        <v>437</v>
      </c>
      <c r="S5" t="s">
        <v>47</v>
      </c>
      <c r="T5" t="s">
        <v>48</v>
      </c>
      <c r="U5" t="s">
        <v>49</v>
      </c>
      <c r="V5" t="s">
        <v>49</v>
      </c>
      <c r="W5" t="s">
        <v>138</v>
      </c>
      <c r="X5" t="s">
        <v>50</v>
      </c>
      <c r="Y5" t="s">
        <v>63</v>
      </c>
      <c r="Z5" t="s">
        <v>139</v>
      </c>
      <c r="AB5" t="s">
        <v>438</v>
      </c>
      <c r="AC5" t="s">
        <v>439</v>
      </c>
      <c r="AD5" t="s">
        <v>426</v>
      </c>
      <c r="AE5" t="s">
        <v>427</v>
      </c>
      <c r="AF5" t="s">
        <v>428</v>
      </c>
      <c r="AG5" t="b">
        <v>0</v>
      </c>
      <c r="AH5" t="b">
        <v>1</v>
      </c>
      <c r="AI5">
        <v>5</v>
      </c>
      <c r="AJ5">
        <v>1</v>
      </c>
      <c r="AK5">
        <v>5</v>
      </c>
      <c r="AL5">
        <v>0</v>
      </c>
      <c r="AM5" t="s">
        <v>47</v>
      </c>
      <c r="AN5" t="s">
        <v>67</v>
      </c>
      <c r="AO5" s="1">
        <v>45833.264531168985</v>
      </c>
      <c r="AP5" t="s">
        <v>51</v>
      </c>
      <c r="AQ5" t="s">
        <v>421</v>
      </c>
      <c r="AR5" t="s">
        <v>52</v>
      </c>
    </row>
    <row r="6" spans="1:48" x14ac:dyDescent="0.55000000000000004">
      <c r="A6">
        <v>1</v>
      </c>
      <c r="B6">
        <v>735</v>
      </c>
      <c r="C6">
        <v>580</v>
      </c>
      <c r="D6" t="s">
        <v>45</v>
      </c>
      <c r="E6" t="s">
        <v>440</v>
      </c>
      <c r="F6" t="s">
        <v>46</v>
      </c>
      <c r="G6" t="b">
        <v>0</v>
      </c>
      <c r="H6" s="1">
        <f>BVW_BTItemLot[[#This Row],[CreatedDateTime]]-TIME(7,0,0)</f>
        <v>45832.941175</v>
      </c>
      <c r="I6" s="1">
        <v>45833.232841666664</v>
      </c>
      <c r="J6" t="s">
        <v>103</v>
      </c>
      <c r="K6" t="b">
        <f ca="1">IF(BVW_BTItemLot[[#This Row],[Age]] &gt; 5, TRUE, FALSE)</f>
        <v>0</v>
      </c>
      <c r="L6" s="2">
        <f ca="1">ROUND(NOW()-BVW_BTItemLot[[#This Row],[UpdatedDateTime]],2)</f>
        <v>0.12</v>
      </c>
      <c r="M6" s="1">
        <v>45833.233264965274</v>
      </c>
      <c r="N6" t="s">
        <v>103</v>
      </c>
      <c r="Q6" t="s">
        <v>441</v>
      </c>
      <c r="S6" t="s">
        <v>47</v>
      </c>
      <c r="T6" t="s">
        <v>48</v>
      </c>
      <c r="U6" t="s">
        <v>49</v>
      </c>
      <c r="V6" t="s">
        <v>49</v>
      </c>
      <c r="W6" t="s">
        <v>64</v>
      </c>
      <c r="X6" t="s">
        <v>50</v>
      </c>
      <c r="Y6" t="s">
        <v>65</v>
      </c>
      <c r="AB6" t="s">
        <v>442</v>
      </c>
      <c r="AC6" t="s">
        <v>425</v>
      </c>
      <c r="AD6" t="s">
        <v>104</v>
      </c>
      <c r="AE6" t="s">
        <v>105</v>
      </c>
      <c r="AF6" t="s">
        <v>106</v>
      </c>
      <c r="AG6" t="b">
        <v>0</v>
      </c>
      <c r="AH6" t="b">
        <v>1</v>
      </c>
      <c r="AI6">
        <v>819</v>
      </c>
      <c r="AJ6">
        <v>1</v>
      </c>
      <c r="AK6">
        <v>819</v>
      </c>
      <c r="AL6">
        <v>0</v>
      </c>
      <c r="AM6" t="s">
        <v>47</v>
      </c>
      <c r="AN6" t="s">
        <v>68</v>
      </c>
      <c r="AO6" s="1">
        <v>45833.225400115742</v>
      </c>
      <c r="AP6" t="s">
        <v>51</v>
      </c>
      <c r="AQ6" t="s">
        <v>45</v>
      </c>
      <c r="AR6" t="s">
        <v>52</v>
      </c>
      <c r="AU6" t="s">
        <v>75</v>
      </c>
    </row>
    <row r="7" spans="1:48" x14ac:dyDescent="0.55000000000000004">
      <c r="A7">
        <v>1</v>
      </c>
      <c r="B7">
        <v>1371</v>
      </c>
      <c r="C7">
        <v>185</v>
      </c>
      <c r="D7" t="s">
        <v>45</v>
      </c>
      <c r="E7" t="s">
        <v>443</v>
      </c>
      <c r="F7" t="s">
        <v>46</v>
      </c>
      <c r="G7" t="b">
        <v>0</v>
      </c>
      <c r="H7" s="1">
        <f>BVW_BTItemLot[[#This Row],[CreatedDateTime]]-TIME(7,0,0)</f>
        <v>45832.936779050928</v>
      </c>
      <c r="I7" s="1">
        <v>45833.228445717592</v>
      </c>
      <c r="J7" t="s">
        <v>103</v>
      </c>
      <c r="K7" t="b">
        <f ca="1">IF(BVW_BTItemLot[[#This Row],[Age]] &gt; 5, TRUE, FALSE)</f>
        <v>0</v>
      </c>
      <c r="L7" s="2">
        <f ca="1">ROUND(NOW()-BVW_BTItemLot[[#This Row],[UpdatedDateTime]],2)</f>
        <v>0.12</v>
      </c>
      <c r="M7" s="1">
        <v>45833.228865474535</v>
      </c>
      <c r="N7" t="s">
        <v>103</v>
      </c>
      <c r="Q7" t="s">
        <v>211</v>
      </c>
      <c r="S7" t="s">
        <v>47</v>
      </c>
      <c r="T7" t="s">
        <v>48</v>
      </c>
      <c r="U7" t="s">
        <v>49</v>
      </c>
      <c r="V7" t="s">
        <v>61</v>
      </c>
      <c r="W7" t="s">
        <v>78</v>
      </c>
      <c r="X7" t="s">
        <v>50</v>
      </c>
      <c r="Y7" t="s">
        <v>77</v>
      </c>
      <c r="Z7" t="s">
        <v>50</v>
      </c>
      <c r="AB7" t="s">
        <v>444</v>
      </c>
      <c r="AC7" t="s">
        <v>425</v>
      </c>
      <c r="AD7" t="s">
        <v>108</v>
      </c>
      <c r="AE7" t="s">
        <v>109</v>
      </c>
      <c r="AF7" t="s">
        <v>110</v>
      </c>
      <c r="AG7" t="b">
        <v>0</v>
      </c>
      <c r="AH7" t="b">
        <v>1</v>
      </c>
      <c r="AI7">
        <v>1336</v>
      </c>
      <c r="AJ7">
        <v>1</v>
      </c>
      <c r="AK7">
        <v>1336</v>
      </c>
      <c r="AL7">
        <v>0</v>
      </c>
      <c r="AM7" t="s">
        <v>47</v>
      </c>
      <c r="AN7" t="s">
        <v>68</v>
      </c>
      <c r="AO7" s="1">
        <v>45833.1482565162</v>
      </c>
      <c r="AP7" t="s">
        <v>51</v>
      </c>
      <c r="AQ7" t="s">
        <v>45</v>
      </c>
      <c r="AR7" t="s">
        <v>52</v>
      </c>
      <c r="AS7" t="s">
        <v>79</v>
      </c>
      <c r="AU7" t="s">
        <v>54</v>
      </c>
    </row>
    <row r="8" spans="1:48" x14ac:dyDescent="0.55000000000000004">
      <c r="A8">
        <v>1</v>
      </c>
      <c r="B8">
        <v>819</v>
      </c>
      <c r="C8">
        <v>500</v>
      </c>
      <c r="D8" t="s">
        <v>45</v>
      </c>
      <c r="E8" t="s">
        <v>445</v>
      </c>
      <c r="F8" t="s">
        <v>46</v>
      </c>
      <c r="G8" t="b">
        <v>0</v>
      </c>
      <c r="H8" s="1">
        <f>BVW_BTItemLot[[#This Row],[CreatedDateTime]]-TIME(7,0,0)</f>
        <v>45832.933733449077</v>
      </c>
      <c r="I8" s="1">
        <v>45833.225400115742</v>
      </c>
      <c r="J8" t="s">
        <v>103</v>
      </c>
      <c r="K8" t="b">
        <f ca="1">IF(BVW_BTItemLot[[#This Row],[Age]] &gt; 5, TRUE, FALSE)</f>
        <v>0</v>
      </c>
      <c r="L8" s="2">
        <f ca="1">ROUND(NOW()-BVW_BTItemLot[[#This Row],[UpdatedDateTime]],2)</f>
        <v>0.13</v>
      </c>
      <c r="M8" s="1">
        <v>45833.225764467592</v>
      </c>
      <c r="N8" t="s">
        <v>103</v>
      </c>
      <c r="Q8" t="s">
        <v>446</v>
      </c>
      <c r="S8" t="s">
        <v>47</v>
      </c>
      <c r="T8" t="s">
        <v>48</v>
      </c>
      <c r="U8" t="s">
        <v>49</v>
      </c>
      <c r="V8" t="s">
        <v>49</v>
      </c>
      <c r="W8" t="s">
        <v>64</v>
      </c>
      <c r="X8" t="s">
        <v>50</v>
      </c>
      <c r="Y8" t="s">
        <v>65</v>
      </c>
      <c r="AB8" t="s">
        <v>442</v>
      </c>
      <c r="AC8" t="s">
        <v>425</v>
      </c>
      <c r="AD8" t="s">
        <v>104</v>
      </c>
      <c r="AE8" t="s">
        <v>105</v>
      </c>
      <c r="AF8" t="s">
        <v>106</v>
      </c>
      <c r="AG8" t="b">
        <v>0</v>
      </c>
      <c r="AH8" t="b">
        <v>1</v>
      </c>
      <c r="AI8">
        <v>819</v>
      </c>
      <c r="AJ8">
        <v>1</v>
      </c>
      <c r="AK8">
        <v>819</v>
      </c>
      <c r="AL8">
        <v>0</v>
      </c>
      <c r="AM8" t="s">
        <v>47</v>
      </c>
      <c r="AN8" t="s">
        <v>68</v>
      </c>
      <c r="AO8" s="1">
        <v>45833.225400115742</v>
      </c>
      <c r="AP8" t="s">
        <v>51</v>
      </c>
      <c r="AQ8" t="s">
        <v>45</v>
      </c>
      <c r="AR8" t="s">
        <v>52</v>
      </c>
      <c r="AU8" t="s">
        <v>75</v>
      </c>
    </row>
    <row r="9" spans="1:48" x14ac:dyDescent="0.55000000000000004">
      <c r="A9">
        <v>1</v>
      </c>
      <c r="B9">
        <v>560</v>
      </c>
      <c r="C9">
        <v>185</v>
      </c>
      <c r="D9" t="s">
        <v>45</v>
      </c>
      <c r="E9" t="s">
        <v>447</v>
      </c>
      <c r="F9" t="s">
        <v>46</v>
      </c>
      <c r="G9" t="b">
        <v>0</v>
      </c>
      <c r="H9" s="1">
        <f>BVW_BTItemLot[[#This Row],[CreatedDateTime]]-TIME(7,0,0)</f>
        <v>45832.928456516209</v>
      </c>
      <c r="I9" s="1">
        <v>45833.220123182873</v>
      </c>
      <c r="J9" t="s">
        <v>103</v>
      </c>
      <c r="K9" t="b">
        <f ca="1">IF(BVW_BTItemLot[[#This Row],[Age]] &gt; 5, TRUE, FALSE)</f>
        <v>0</v>
      </c>
      <c r="L9" s="2">
        <f ca="1">ROUND(NOW()-BVW_BTItemLot[[#This Row],[UpdatedDateTime]],2)</f>
        <v>0.13</v>
      </c>
      <c r="M9" s="1">
        <v>45833.222233680557</v>
      </c>
      <c r="N9" t="s">
        <v>103</v>
      </c>
      <c r="Q9" t="s">
        <v>319</v>
      </c>
      <c r="S9" t="s">
        <v>47</v>
      </c>
      <c r="T9" t="s">
        <v>48</v>
      </c>
      <c r="U9" t="s">
        <v>49</v>
      </c>
      <c r="V9" t="s">
        <v>61</v>
      </c>
      <c r="W9" t="s">
        <v>76</v>
      </c>
      <c r="X9" t="s">
        <v>50</v>
      </c>
      <c r="Y9" t="s">
        <v>77</v>
      </c>
      <c r="Z9" t="s">
        <v>57</v>
      </c>
      <c r="AB9" t="s">
        <v>448</v>
      </c>
      <c r="AC9" t="s">
        <v>425</v>
      </c>
      <c r="AD9" t="s">
        <v>178</v>
      </c>
      <c r="AE9" t="s">
        <v>179</v>
      </c>
      <c r="AF9" t="s">
        <v>180</v>
      </c>
      <c r="AG9" t="b">
        <v>0</v>
      </c>
      <c r="AH9" t="b">
        <v>1</v>
      </c>
      <c r="AI9">
        <v>1719</v>
      </c>
      <c r="AJ9">
        <v>1</v>
      </c>
      <c r="AK9">
        <v>1719</v>
      </c>
      <c r="AL9">
        <v>0</v>
      </c>
      <c r="AM9" t="s">
        <v>47</v>
      </c>
      <c r="AN9" t="s">
        <v>68</v>
      </c>
      <c r="AO9" s="1">
        <v>45833.040242476854</v>
      </c>
      <c r="AP9" t="s">
        <v>51</v>
      </c>
      <c r="AQ9" t="s">
        <v>45</v>
      </c>
      <c r="AR9" t="s">
        <v>52</v>
      </c>
      <c r="AT9" t="s">
        <v>53</v>
      </c>
      <c r="AU9" t="s">
        <v>54</v>
      </c>
      <c r="AV9" t="s">
        <v>74</v>
      </c>
    </row>
    <row r="10" spans="1:48" x14ac:dyDescent="0.55000000000000004">
      <c r="A10">
        <v>1</v>
      </c>
      <c r="B10">
        <v>668</v>
      </c>
      <c r="C10">
        <v>185</v>
      </c>
      <c r="D10" t="s">
        <v>45</v>
      </c>
      <c r="E10" t="s">
        <v>449</v>
      </c>
      <c r="F10" t="s">
        <v>46</v>
      </c>
      <c r="G10" t="b">
        <v>0</v>
      </c>
      <c r="H10" s="1">
        <f>BVW_BTItemLot[[#This Row],[CreatedDateTime]]-TIME(7,0,0)</f>
        <v>45832.885956863429</v>
      </c>
      <c r="I10" s="1">
        <v>45833.177623530093</v>
      </c>
      <c r="J10" t="s">
        <v>62</v>
      </c>
      <c r="K10" t="b">
        <f ca="1">IF(BVW_BTItemLot[[#This Row],[Age]] &gt; 5, TRUE, FALSE)</f>
        <v>0</v>
      </c>
      <c r="L10" s="2">
        <f ca="1">ROUND(NOW()-BVW_BTItemLot[[#This Row],[UpdatedDateTime]],2)</f>
        <v>0.17</v>
      </c>
      <c r="M10" s="1">
        <v>45833.177935416665</v>
      </c>
      <c r="N10" t="s">
        <v>62</v>
      </c>
      <c r="Q10" t="s">
        <v>450</v>
      </c>
      <c r="S10" t="s">
        <v>47</v>
      </c>
      <c r="T10" t="s">
        <v>48</v>
      </c>
      <c r="U10" t="s">
        <v>49</v>
      </c>
      <c r="V10" t="s">
        <v>49</v>
      </c>
      <c r="W10" t="s">
        <v>58</v>
      </c>
      <c r="X10" t="s">
        <v>50</v>
      </c>
      <c r="Y10" t="s">
        <v>59</v>
      </c>
      <c r="AB10" t="s">
        <v>451</v>
      </c>
      <c r="AC10" t="s">
        <v>431</v>
      </c>
      <c r="AD10" t="s">
        <v>178</v>
      </c>
      <c r="AE10" t="s">
        <v>179</v>
      </c>
      <c r="AF10" t="s">
        <v>180</v>
      </c>
      <c r="AG10" t="b">
        <v>0</v>
      </c>
      <c r="AH10" t="b">
        <v>1</v>
      </c>
      <c r="AI10">
        <v>668</v>
      </c>
      <c r="AJ10">
        <v>1</v>
      </c>
      <c r="AK10">
        <v>668</v>
      </c>
      <c r="AL10">
        <v>0</v>
      </c>
      <c r="AM10" t="s">
        <v>47</v>
      </c>
      <c r="AN10" t="s">
        <v>60</v>
      </c>
      <c r="AO10" s="1">
        <v>45833.177623530093</v>
      </c>
      <c r="AP10" t="s">
        <v>51</v>
      </c>
      <c r="AQ10" t="s">
        <v>45</v>
      </c>
      <c r="AR10" t="s">
        <v>52</v>
      </c>
      <c r="AT10" t="s">
        <v>53</v>
      </c>
      <c r="AU10" t="s">
        <v>54</v>
      </c>
      <c r="AV10" t="s">
        <v>74</v>
      </c>
    </row>
    <row r="11" spans="1:48" x14ac:dyDescent="0.55000000000000004">
      <c r="A11">
        <v>1</v>
      </c>
      <c r="B11">
        <v>1456</v>
      </c>
      <c r="C11">
        <v>0</v>
      </c>
      <c r="D11" t="s">
        <v>45</v>
      </c>
      <c r="E11" t="s">
        <v>452</v>
      </c>
      <c r="F11" t="s">
        <v>46</v>
      </c>
      <c r="G11" t="b">
        <v>0</v>
      </c>
      <c r="H11" s="1">
        <f>BVW_BTItemLot[[#This Row],[CreatedDateTime]]-TIME(7,0,0)</f>
        <v>45832.884187812502</v>
      </c>
      <c r="I11" s="1">
        <v>45833.175854479166</v>
      </c>
      <c r="J11" t="s">
        <v>62</v>
      </c>
      <c r="K11" t="b">
        <f ca="1">IF(BVW_BTItemLot[[#This Row],[Age]] &gt; 5, TRUE, FALSE)</f>
        <v>0</v>
      </c>
      <c r="L11" s="2">
        <f ca="1">ROUND(NOW()-BVW_BTItemLot[[#This Row],[UpdatedDateTime]],2)</f>
        <v>0.18</v>
      </c>
      <c r="M11" s="1">
        <v>45833.175854629633</v>
      </c>
      <c r="N11" t="s">
        <v>62</v>
      </c>
      <c r="Q11" t="s">
        <v>453</v>
      </c>
      <c r="S11" t="s">
        <v>47</v>
      </c>
      <c r="T11" t="s">
        <v>48</v>
      </c>
      <c r="U11" t="s">
        <v>49</v>
      </c>
      <c r="V11" t="s">
        <v>49</v>
      </c>
      <c r="W11" t="s">
        <v>146</v>
      </c>
      <c r="X11" t="s">
        <v>50</v>
      </c>
      <c r="Y11" t="s">
        <v>63</v>
      </c>
      <c r="Z11" t="s">
        <v>147</v>
      </c>
      <c r="AB11" t="s">
        <v>454</v>
      </c>
      <c r="AC11" t="s">
        <v>431</v>
      </c>
      <c r="AD11" t="s">
        <v>455</v>
      </c>
      <c r="AE11" t="s">
        <v>456</v>
      </c>
      <c r="AF11" t="s">
        <v>457</v>
      </c>
      <c r="AG11" t="b">
        <v>0</v>
      </c>
      <c r="AH11" t="b">
        <v>1</v>
      </c>
      <c r="AI11">
        <v>1271</v>
      </c>
      <c r="AJ11">
        <v>1</v>
      </c>
      <c r="AK11">
        <v>1271</v>
      </c>
      <c r="AL11">
        <v>0</v>
      </c>
      <c r="AM11" t="s">
        <v>47</v>
      </c>
      <c r="AN11" t="s">
        <v>60</v>
      </c>
      <c r="AO11" s="1">
        <v>45833.175172418982</v>
      </c>
      <c r="AP11" t="s">
        <v>51</v>
      </c>
      <c r="AQ11" t="s">
        <v>45</v>
      </c>
      <c r="AR11" t="s">
        <v>52</v>
      </c>
      <c r="AT11" t="s">
        <v>66</v>
      </c>
      <c r="AU11" t="s">
        <v>54</v>
      </c>
      <c r="AV11" t="s">
        <v>160</v>
      </c>
    </row>
    <row r="12" spans="1:48" x14ac:dyDescent="0.55000000000000004">
      <c r="A12">
        <v>1</v>
      </c>
      <c r="B12">
        <v>1336</v>
      </c>
      <c r="C12">
        <v>185</v>
      </c>
      <c r="D12" t="s">
        <v>45</v>
      </c>
      <c r="E12" t="s">
        <v>458</v>
      </c>
      <c r="F12" t="s">
        <v>46</v>
      </c>
      <c r="G12" t="b">
        <v>0</v>
      </c>
      <c r="H12" s="1">
        <f>BVW_BTItemLot[[#This Row],[CreatedDateTime]]-TIME(7,0,0)</f>
        <v>45832.856589849536</v>
      </c>
      <c r="I12" s="1">
        <v>45833.1482565162</v>
      </c>
      <c r="J12" t="s">
        <v>103</v>
      </c>
      <c r="K12" t="b">
        <f ca="1">IF(BVW_BTItemLot[[#This Row],[Age]] &gt; 5, TRUE, FALSE)</f>
        <v>0</v>
      </c>
      <c r="L12" s="2">
        <f ca="1">ROUND(NOW()-BVW_BTItemLot[[#This Row],[UpdatedDateTime]],2)</f>
        <v>0.2</v>
      </c>
      <c r="M12" s="1">
        <v>45833.148663541666</v>
      </c>
      <c r="N12" t="s">
        <v>103</v>
      </c>
      <c r="Q12" t="s">
        <v>152</v>
      </c>
      <c r="S12" t="s">
        <v>47</v>
      </c>
      <c r="T12" t="s">
        <v>48</v>
      </c>
      <c r="U12" t="s">
        <v>49</v>
      </c>
      <c r="V12" t="s">
        <v>61</v>
      </c>
      <c r="W12" t="s">
        <v>78</v>
      </c>
      <c r="X12" t="s">
        <v>50</v>
      </c>
      <c r="Y12" t="s">
        <v>77</v>
      </c>
      <c r="Z12" t="s">
        <v>50</v>
      </c>
      <c r="AB12" t="s">
        <v>444</v>
      </c>
      <c r="AC12" t="s">
        <v>425</v>
      </c>
      <c r="AD12" t="s">
        <v>108</v>
      </c>
      <c r="AE12" t="s">
        <v>109</v>
      </c>
      <c r="AF12" t="s">
        <v>110</v>
      </c>
      <c r="AG12" t="b">
        <v>0</v>
      </c>
      <c r="AH12" t="b">
        <v>1</v>
      </c>
      <c r="AI12">
        <v>1336</v>
      </c>
      <c r="AJ12">
        <v>1</v>
      </c>
      <c r="AK12">
        <v>1336</v>
      </c>
      <c r="AL12">
        <v>0</v>
      </c>
      <c r="AM12" t="s">
        <v>47</v>
      </c>
      <c r="AN12" t="s">
        <v>68</v>
      </c>
      <c r="AO12" s="1">
        <v>45833.1482565162</v>
      </c>
      <c r="AP12" t="s">
        <v>51</v>
      </c>
      <c r="AQ12" t="s">
        <v>45</v>
      </c>
      <c r="AR12" t="s">
        <v>52</v>
      </c>
      <c r="AS12" t="s">
        <v>79</v>
      </c>
      <c r="AU12" t="s">
        <v>54</v>
      </c>
    </row>
    <row r="13" spans="1:48" x14ac:dyDescent="0.55000000000000004">
      <c r="A13">
        <v>1</v>
      </c>
      <c r="B13">
        <v>822</v>
      </c>
      <c r="C13">
        <v>500</v>
      </c>
      <c r="D13" t="s">
        <v>45</v>
      </c>
      <c r="E13" t="s">
        <v>459</v>
      </c>
      <c r="F13" t="s">
        <v>46</v>
      </c>
      <c r="G13" t="b">
        <v>0</v>
      </c>
      <c r="H13" s="1">
        <f>BVW_BTItemLot[[#This Row],[CreatedDateTime]]-TIME(7,0,0)</f>
        <v>45832.777289155092</v>
      </c>
      <c r="I13" s="1">
        <v>45833.068955821756</v>
      </c>
      <c r="J13" t="s">
        <v>62</v>
      </c>
      <c r="K13" t="b">
        <f ca="1">IF(BVW_BTItemLot[[#This Row],[Age]] &gt; 5, TRUE, FALSE)</f>
        <v>0</v>
      </c>
      <c r="L13" s="2">
        <f ca="1">ROUND(NOW()-BVW_BTItemLot[[#This Row],[UpdatedDateTime]],2)</f>
        <v>0.27</v>
      </c>
      <c r="M13" s="1">
        <v>45833.079104282406</v>
      </c>
      <c r="N13" t="s">
        <v>62</v>
      </c>
      <c r="Q13" t="s">
        <v>168</v>
      </c>
      <c r="S13" t="s">
        <v>47</v>
      </c>
      <c r="T13" t="s">
        <v>48</v>
      </c>
      <c r="U13" t="s">
        <v>49</v>
      </c>
      <c r="V13" t="s">
        <v>49</v>
      </c>
      <c r="W13" t="s">
        <v>58</v>
      </c>
      <c r="X13" t="s">
        <v>50</v>
      </c>
      <c r="Y13" t="s">
        <v>59</v>
      </c>
      <c r="AB13" t="s">
        <v>460</v>
      </c>
      <c r="AC13" t="s">
        <v>431</v>
      </c>
      <c r="AD13" t="s">
        <v>83</v>
      </c>
      <c r="AE13" t="s">
        <v>84</v>
      </c>
      <c r="AF13" t="s">
        <v>85</v>
      </c>
      <c r="AG13" t="b">
        <v>0</v>
      </c>
      <c r="AH13" t="b">
        <v>1</v>
      </c>
      <c r="AI13">
        <v>822</v>
      </c>
      <c r="AJ13">
        <v>1</v>
      </c>
      <c r="AK13">
        <v>822</v>
      </c>
      <c r="AL13">
        <v>0</v>
      </c>
      <c r="AM13" t="s">
        <v>47</v>
      </c>
      <c r="AN13" t="s">
        <v>60</v>
      </c>
      <c r="AO13" s="1">
        <v>45833.068955821756</v>
      </c>
      <c r="AP13" t="s">
        <v>51</v>
      </c>
      <c r="AQ13" t="s">
        <v>45</v>
      </c>
      <c r="AR13" t="s">
        <v>52</v>
      </c>
      <c r="AT13" t="s">
        <v>53</v>
      </c>
      <c r="AU13" t="s">
        <v>72</v>
      </c>
      <c r="AV13" t="s">
        <v>73</v>
      </c>
    </row>
    <row r="14" spans="1:48" x14ac:dyDescent="0.55000000000000004">
      <c r="A14">
        <v>1</v>
      </c>
      <c r="B14">
        <v>1762</v>
      </c>
      <c r="C14">
        <v>185</v>
      </c>
      <c r="D14" t="s">
        <v>45</v>
      </c>
      <c r="E14" t="s">
        <v>461</v>
      </c>
      <c r="F14" t="s">
        <v>46</v>
      </c>
      <c r="G14" t="b">
        <v>0</v>
      </c>
      <c r="H14" s="1">
        <f>BVW_BTItemLot[[#This Row],[CreatedDateTime]]-TIME(7,0,0)</f>
        <v>45832.755773877318</v>
      </c>
      <c r="I14" s="1">
        <v>45833.047440543982</v>
      </c>
      <c r="J14" t="s">
        <v>103</v>
      </c>
      <c r="K14" t="b">
        <f ca="1">IF(BVW_BTItemLot[[#This Row],[Age]] &gt; 5, TRUE, FALSE)</f>
        <v>0</v>
      </c>
      <c r="L14" s="2">
        <f ca="1">ROUND(NOW()-BVW_BTItemLot[[#This Row],[UpdatedDateTime]],2)</f>
        <v>0.3</v>
      </c>
      <c r="M14" s="1">
        <v>45833.047922604164</v>
      </c>
      <c r="N14" t="s">
        <v>103</v>
      </c>
      <c r="Q14" t="s">
        <v>111</v>
      </c>
      <c r="S14" t="s">
        <v>47</v>
      </c>
      <c r="T14" t="s">
        <v>48</v>
      </c>
      <c r="U14" t="s">
        <v>49</v>
      </c>
      <c r="V14" t="s">
        <v>61</v>
      </c>
      <c r="W14" t="s">
        <v>76</v>
      </c>
      <c r="X14" t="s">
        <v>50</v>
      </c>
      <c r="Y14" t="s">
        <v>77</v>
      </c>
      <c r="Z14" t="s">
        <v>57</v>
      </c>
      <c r="AB14" t="s">
        <v>448</v>
      </c>
      <c r="AC14" t="s">
        <v>425</v>
      </c>
      <c r="AD14" t="s">
        <v>178</v>
      </c>
      <c r="AE14" t="s">
        <v>179</v>
      </c>
      <c r="AF14" t="s">
        <v>180</v>
      </c>
      <c r="AG14" t="b">
        <v>0</v>
      </c>
      <c r="AH14" t="b">
        <v>1</v>
      </c>
      <c r="AI14">
        <v>1719</v>
      </c>
      <c r="AJ14">
        <v>1</v>
      </c>
      <c r="AK14">
        <v>1719</v>
      </c>
      <c r="AL14">
        <v>0</v>
      </c>
      <c r="AM14" t="s">
        <v>47</v>
      </c>
      <c r="AN14" t="s">
        <v>68</v>
      </c>
      <c r="AO14" s="1">
        <v>45833.040242476854</v>
      </c>
      <c r="AP14" t="s">
        <v>51</v>
      </c>
      <c r="AQ14" t="s">
        <v>45</v>
      </c>
      <c r="AR14" t="s">
        <v>52</v>
      </c>
      <c r="AT14" t="s">
        <v>53</v>
      </c>
      <c r="AU14" t="s">
        <v>54</v>
      </c>
      <c r="AV14" t="s">
        <v>74</v>
      </c>
    </row>
    <row r="15" spans="1:48" x14ac:dyDescent="0.55000000000000004">
      <c r="A15">
        <v>1</v>
      </c>
      <c r="B15">
        <v>1200</v>
      </c>
      <c r="C15">
        <v>185</v>
      </c>
      <c r="D15" t="s">
        <v>45</v>
      </c>
      <c r="E15" t="s">
        <v>462</v>
      </c>
      <c r="F15" t="s">
        <v>46</v>
      </c>
      <c r="G15" t="b">
        <v>0</v>
      </c>
      <c r="H15" s="1">
        <f>BVW_BTItemLot[[#This Row],[CreatedDateTime]]-TIME(7,0,0)</f>
        <v>45832.752121261576</v>
      </c>
      <c r="I15" s="1">
        <v>45833.04378792824</v>
      </c>
      <c r="J15" t="s">
        <v>103</v>
      </c>
      <c r="K15" t="b">
        <f ca="1">IF(BVW_BTItemLot[[#This Row],[Age]] &gt; 5, TRUE, FALSE)</f>
        <v>0</v>
      </c>
      <c r="L15" s="2">
        <f ca="1">ROUND(NOW()-BVW_BTItemLot[[#This Row],[UpdatedDateTime]],2)</f>
        <v>0.31</v>
      </c>
      <c r="M15" s="1">
        <v>45833.044346296294</v>
      </c>
      <c r="N15" t="s">
        <v>103</v>
      </c>
      <c r="Q15" t="s">
        <v>463</v>
      </c>
      <c r="S15" t="s">
        <v>47</v>
      </c>
      <c r="T15" t="s">
        <v>48</v>
      </c>
      <c r="U15" t="s">
        <v>49</v>
      </c>
      <c r="V15" t="s">
        <v>61</v>
      </c>
      <c r="W15" t="s">
        <v>76</v>
      </c>
      <c r="X15" t="s">
        <v>50</v>
      </c>
      <c r="Y15" t="s">
        <v>77</v>
      </c>
      <c r="Z15" t="s">
        <v>57</v>
      </c>
      <c r="AB15" t="s">
        <v>464</v>
      </c>
      <c r="AC15" t="s">
        <v>425</v>
      </c>
      <c r="AD15" t="s">
        <v>165</v>
      </c>
      <c r="AE15" t="s">
        <v>166</v>
      </c>
      <c r="AF15" t="s">
        <v>167</v>
      </c>
      <c r="AG15" t="b">
        <v>0</v>
      </c>
      <c r="AH15" t="b">
        <v>1</v>
      </c>
      <c r="AI15">
        <v>1200</v>
      </c>
      <c r="AJ15">
        <v>1</v>
      </c>
      <c r="AK15">
        <v>1200</v>
      </c>
      <c r="AL15">
        <v>0</v>
      </c>
      <c r="AM15" t="s">
        <v>47</v>
      </c>
      <c r="AN15" t="s">
        <v>68</v>
      </c>
      <c r="AO15" s="1">
        <v>45833.04378792824</v>
      </c>
      <c r="AP15" t="s">
        <v>51</v>
      </c>
      <c r="AQ15" t="s">
        <v>45</v>
      </c>
      <c r="AR15" t="s">
        <v>52</v>
      </c>
      <c r="AT15" t="s">
        <v>66</v>
      </c>
      <c r="AU15" t="s">
        <v>54</v>
      </c>
      <c r="AV15" t="s">
        <v>151</v>
      </c>
    </row>
    <row r="16" spans="1:48" x14ac:dyDescent="0.55000000000000004">
      <c r="A16">
        <v>1</v>
      </c>
      <c r="B16">
        <v>1719</v>
      </c>
      <c r="C16">
        <v>185</v>
      </c>
      <c r="D16" t="s">
        <v>45</v>
      </c>
      <c r="E16" t="s">
        <v>465</v>
      </c>
      <c r="F16" t="s">
        <v>46</v>
      </c>
      <c r="G16" t="b">
        <v>0</v>
      </c>
      <c r="H16" s="1">
        <f>BVW_BTItemLot[[#This Row],[CreatedDateTime]]-TIME(7,0,0)</f>
        <v>45832.74857581019</v>
      </c>
      <c r="I16" s="1">
        <v>45833.040242476854</v>
      </c>
      <c r="J16" t="s">
        <v>103</v>
      </c>
      <c r="K16" t="b">
        <f ca="1">IF(BVW_BTItemLot[[#This Row],[Age]] &gt; 5, TRUE, FALSE)</f>
        <v>0</v>
      </c>
      <c r="L16" s="2">
        <f ca="1">ROUND(NOW()-BVW_BTItemLot[[#This Row],[UpdatedDateTime]],2)</f>
        <v>0.31</v>
      </c>
      <c r="M16" s="1">
        <v>45833.0406</v>
      </c>
      <c r="N16" t="s">
        <v>103</v>
      </c>
      <c r="Q16" t="s">
        <v>295</v>
      </c>
      <c r="S16" t="s">
        <v>47</v>
      </c>
      <c r="T16" t="s">
        <v>48</v>
      </c>
      <c r="U16" t="s">
        <v>49</v>
      </c>
      <c r="V16" t="s">
        <v>61</v>
      </c>
      <c r="W16" t="s">
        <v>76</v>
      </c>
      <c r="X16" t="s">
        <v>50</v>
      </c>
      <c r="Y16" t="s">
        <v>77</v>
      </c>
      <c r="Z16" t="s">
        <v>57</v>
      </c>
      <c r="AB16" t="s">
        <v>448</v>
      </c>
      <c r="AC16" t="s">
        <v>425</v>
      </c>
      <c r="AD16" t="s">
        <v>178</v>
      </c>
      <c r="AE16" t="s">
        <v>179</v>
      </c>
      <c r="AF16" t="s">
        <v>180</v>
      </c>
      <c r="AG16" t="b">
        <v>0</v>
      </c>
      <c r="AH16" t="b">
        <v>1</v>
      </c>
      <c r="AI16">
        <v>1719</v>
      </c>
      <c r="AJ16">
        <v>1</v>
      </c>
      <c r="AK16">
        <v>1719</v>
      </c>
      <c r="AL16">
        <v>0</v>
      </c>
      <c r="AM16" t="s">
        <v>47</v>
      </c>
      <c r="AN16" t="s">
        <v>68</v>
      </c>
      <c r="AO16" s="1">
        <v>45833.040242476854</v>
      </c>
      <c r="AP16" t="s">
        <v>51</v>
      </c>
      <c r="AQ16" t="s">
        <v>45</v>
      </c>
      <c r="AR16" t="s">
        <v>52</v>
      </c>
      <c r="AT16" t="s">
        <v>53</v>
      </c>
      <c r="AU16" t="s">
        <v>54</v>
      </c>
      <c r="AV16" t="s">
        <v>74</v>
      </c>
    </row>
    <row r="17" spans="1:48" x14ac:dyDescent="0.55000000000000004">
      <c r="A17">
        <v>1</v>
      </c>
      <c r="B17">
        <v>4</v>
      </c>
      <c r="C17">
        <v>8</v>
      </c>
      <c r="D17" t="s">
        <v>45</v>
      </c>
      <c r="E17" t="s">
        <v>466</v>
      </c>
      <c r="F17" t="s">
        <v>46</v>
      </c>
      <c r="G17" t="b">
        <v>0</v>
      </c>
      <c r="H17" s="1">
        <f>BVW_BTItemLot[[#This Row],[CreatedDateTime]]-TIME(7,0,0)</f>
        <v>45832.658954131948</v>
      </c>
      <c r="I17" s="1">
        <v>45832.950620798612</v>
      </c>
      <c r="J17" t="s">
        <v>86</v>
      </c>
      <c r="K17" t="b">
        <f ca="1">IF(BVW_BTItemLot[[#This Row],[Age]] &gt; 5, TRUE, FALSE)</f>
        <v>0</v>
      </c>
      <c r="L17" s="2">
        <f ca="1">ROUND(NOW()-BVW_BTItemLot[[#This Row],[UpdatedDateTime]],2)</f>
        <v>0.4</v>
      </c>
      <c r="M17" s="1">
        <v>45832.950620983793</v>
      </c>
      <c r="N17" t="s">
        <v>86</v>
      </c>
      <c r="Q17" t="s">
        <v>467</v>
      </c>
      <c r="S17" t="s">
        <v>47</v>
      </c>
      <c r="T17" t="s">
        <v>48</v>
      </c>
      <c r="U17" t="s">
        <v>49</v>
      </c>
      <c r="V17" t="s">
        <v>49</v>
      </c>
      <c r="W17" t="s">
        <v>146</v>
      </c>
      <c r="X17" t="s">
        <v>50</v>
      </c>
      <c r="Y17" t="s">
        <v>63</v>
      </c>
      <c r="Z17" t="s">
        <v>147</v>
      </c>
      <c r="AB17" t="s">
        <v>468</v>
      </c>
      <c r="AC17" t="s">
        <v>431</v>
      </c>
      <c r="AD17" t="s">
        <v>426</v>
      </c>
      <c r="AE17" t="s">
        <v>427</v>
      </c>
      <c r="AF17" t="s">
        <v>428</v>
      </c>
      <c r="AG17" t="b">
        <v>0</v>
      </c>
      <c r="AH17" t="b">
        <v>1</v>
      </c>
      <c r="AI17">
        <v>4</v>
      </c>
      <c r="AJ17">
        <v>1</v>
      </c>
      <c r="AK17">
        <v>4</v>
      </c>
      <c r="AL17">
        <v>0</v>
      </c>
      <c r="AM17" t="s">
        <v>47</v>
      </c>
      <c r="AN17" t="s">
        <v>60</v>
      </c>
      <c r="AO17" s="1">
        <v>45832.950620798612</v>
      </c>
      <c r="AP17" t="s">
        <v>51</v>
      </c>
      <c r="AQ17" t="s">
        <v>421</v>
      </c>
      <c r="AR17" t="s">
        <v>52</v>
      </c>
    </row>
    <row r="18" spans="1:48" x14ac:dyDescent="0.55000000000000004">
      <c r="A18">
        <v>1</v>
      </c>
      <c r="B18">
        <v>3</v>
      </c>
      <c r="C18">
        <v>2</v>
      </c>
      <c r="D18" t="s">
        <v>45</v>
      </c>
      <c r="E18" t="s">
        <v>469</v>
      </c>
      <c r="F18" t="s">
        <v>46</v>
      </c>
      <c r="G18" t="b">
        <v>0</v>
      </c>
      <c r="H18" s="1">
        <f>BVW_BTItemLot[[#This Row],[CreatedDateTime]]-TIME(7,0,0)</f>
        <v>45832.656498229167</v>
      </c>
      <c r="I18" s="1">
        <v>45832.948164895832</v>
      </c>
      <c r="J18" t="s">
        <v>114</v>
      </c>
      <c r="K18" t="b">
        <f ca="1">IF(BVW_BTItemLot[[#This Row],[Age]] &gt; 5, TRUE, FALSE)</f>
        <v>0</v>
      </c>
      <c r="L18" s="2">
        <f ca="1">ROUND(NOW()-BVW_BTItemLot[[#This Row],[UpdatedDateTime]],2)</f>
        <v>0.4</v>
      </c>
      <c r="M18" s="1">
        <v>45832.948165243055</v>
      </c>
      <c r="N18" t="s">
        <v>114</v>
      </c>
      <c r="Q18" t="s">
        <v>423</v>
      </c>
      <c r="S18" t="s">
        <v>47</v>
      </c>
      <c r="T18" t="s">
        <v>48</v>
      </c>
      <c r="U18" t="s">
        <v>49</v>
      </c>
      <c r="V18" t="s">
        <v>49</v>
      </c>
      <c r="W18" t="s">
        <v>58</v>
      </c>
      <c r="X18" t="s">
        <v>50</v>
      </c>
      <c r="Y18" t="s">
        <v>59</v>
      </c>
      <c r="AB18" t="s">
        <v>470</v>
      </c>
      <c r="AC18" t="s">
        <v>425</v>
      </c>
      <c r="AD18" t="s">
        <v>426</v>
      </c>
      <c r="AE18" t="s">
        <v>427</v>
      </c>
      <c r="AF18" t="s">
        <v>428</v>
      </c>
      <c r="AG18" t="b">
        <v>0</v>
      </c>
      <c r="AH18" t="b">
        <v>1</v>
      </c>
      <c r="AI18">
        <v>3</v>
      </c>
      <c r="AJ18">
        <v>1</v>
      </c>
      <c r="AK18">
        <v>3</v>
      </c>
      <c r="AL18">
        <v>0</v>
      </c>
      <c r="AM18" t="s">
        <v>47</v>
      </c>
      <c r="AN18" t="s">
        <v>68</v>
      </c>
      <c r="AO18" s="1">
        <v>45832.948164895832</v>
      </c>
      <c r="AP18" t="s">
        <v>51</v>
      </c>
      <c r="AQ18" t="s">
        <v>421</v>
      </c>
      <c r="AR18" t="s">
        <v>52</v>
      </c>
    </row>
    <row r="19" spans="1:48" x14ac:dyDescent="0.55000000000000004">
      <c r="A19">
        <v>1</v>
      </c>
      <c r="B19">
        <v>761</v>
      </c>
      <c r="C19">
        <v>500</v>
      </c>
      <c r="D19" t="s">
        <v>45</v>
      </c>
      <c r="E19" t="s">
        <v>471</v>
      </c>
      <c r="F19" t="s">
        <v>46</v>
      </c>
      <c r="G19" t="b">
        <v>0</v>
      </c>
      <c r="H19" s="1">
        <f>BVW_BTItemLot[[#This Row],[CreatedDateTime]]-TIME(7,0,0)</f>
        <v>45832.652772222224</v>
      </c>
      <c r="I19" s="1">
        <v>45832.944438888888</v>
      </c>
      <c r="J19" t="s">
        <v>114</v>
      </c>
      <c r="K19" t="b">
        <f ca="1">IF(BVW_BTItemLot[[#This Row],[Age]] &gt; 5, TRUE, FALSE)</f>
        <v>0</v>
      </c>
      <c r="L19" s="2">
        <f ca="1">ROUND(NOW()-BVW_BTItemLot[[#This Row],[UpdatedDateTime]],2)</f>
        <v>0.41</v>
      </c>
      <c r="M19" s="1">
        <v>45832.94586226852</v>
      </c>
      <c r="N19" t="s">
        <v>114</v>
      </c>
      <c r="Q19" t="s">
        <v>213</v>
      </c>
      <c r="S19" t="s">
        <v>47</v>
      </c>
      <c r="T19" t="s">
        <v>48</v>
      </c>
      <c r="U19" t="s">
        <v>49</v>
      </c>
      <c r="V19" t="s">
        <v>49</v>
      </c>
      <c r="W19" t="s">
        <v>64</v>
      </c>
      <c r="X19" t="s">
        <v>50</v>
      </c>
      <c r="Y19" t="s">
        <v>65</v>
      </c>
      <c r="AB19" t="s">
        <v>472</v>
      </c>
      <c r="AC19" t="s">
        <v>425</v>
      </c>
      <c r="AD19" t="s">
        <v>104</v>
      </c>
      <c r="AE19" t="s">
        <v>105</v>
      </c>
      <c r="AF19" t="s">
        <v>106</v>
      </c>
      <c r="AG19" t="b">
        <v>0</v>
      </c>
      <c r="AH19" t="b">
        <v>1</v>
      </c>
      <c r="AI19">
        <v>761</v>
      </c>
      <c r="AJ19">
        <v>1</v>
      </c>
      <c r="AK19">
        <v>761</v>
      </c>
      <c r="AL19">
        <v>0</v>
      </c>
      <c r="AM19" t="s">
        <v>47</v>
      </c>
      <c r="AN19" t="s">
        <v>68</v>
      </c>
      <c r="AO19" s="1">
        <v>45832.944438888888</v>
      </c>
      <c r="AP19" t="s">
        <v>51</v>
      </c>
      <c r="AQ19" t="s">
        <v>45</v>
      </c>
      <c r="AR19" t="s">
        <v>52</v>
      </c>
      <c r="AU19" t="s">
        <v>75</v>
      </c>
    </row>
    <row r="20" spans="1:48" x14ac:dyDescent="0.55000000000000004">
      <c r="A20">
        <v>1</v>
      </c>
      <c r="B20">
        <v>1037</v>
      </c>
      <c r="C20">
        <v>185</v>
      </c>
      <c r="D20" t="s">
        <v>45</v>
      </c>
      <c r="E20" t="s">
        <v>473</v>
      </c>
      <c r="F20" t="s">
        <v>46</v>
      </c>
      <c r="G20" t="b">
        <v>0</v>
      </c>
      <c r="H20" s="1">
        <f>BVW_BTItemLot[[#This Row],[CreatedDateTime]]-TIME(7,0,0)</f>
        <v>45832.650999456018</v>
      </c>
      <c r="I20" s="1">
        <v>45832.942666122683</v>
      </c>
      <c r="J20" t="s">
        <v>474</v>
      </c>
      <c r="K20" t="b">
        <f ca="1">IF(BVW_BTItemLot[[#This Row],[Age]] &gt; 5, TRUE, FALSE)</f>
        <v>0</v>
      </c>
      <c r="L20" s="2">
        <f ca="1">ROUND(NOW()-BVW_BTItemLot[[#This Row],[UpdatedDateTime]],2)</f>
        <v>0.41</v>
      </c>
      <c r="M20" s="1">
        <v>45832.943571759257</v>
      </c>
      <c r="N20" t="s">
        <v>475</v>
      </c>
      <c r="Q20" t="s">
        <v>201</v>
      </c>
      <c r="S20" t="s">
        <v>47</v>
      </c>
      <c r="T20" t="s">
        <v>48</v>
      </c>
      <c r="U20" t="s">
        <v>49</v>
      </c>
      <c r="V20" t="s">
        <v>49</v>
      </c>
      <c r="W20" t="s">
        <v>64</v>
      </c>
      <c r="X20" t="s">
        <v>50</v>
      </c>
      <c r="Y20" t="s">
        <v>65</v>
      </c>
      <c r="AB20" t="s">
        <v>476</v>
      </c>
      <c r="AC20" t="s">
        <v>477</v>
      </c>
      <c r="AD20" t="s">
        <v>478</v>
      </c>
      <c r="AE20" t="s">
        <v>479</v>
      </c>
      <c r="AF20" t="s">
        <v>480</v>
      </c>
      <c r="AG20" t="b">
        <v>0</v>
      </c>
      <c r="AH20" t="b">
        <v>1</v>
      </c>
      <c r="AI20">
        <v>1760</v>
      </c>
      <c r="AJ20">
        <v>1</v>
      </c>
      <c r="AK20">
        <v>1760</v>
      </c>
      <c r="AL20">
        <v>0</v>
      </c>
      <c r="AM20" t="s">
        <v>47</v>
      </c>
      <c r="AN20" t="s">
        <v>481</v>
      </c>
      <c r="AO20" s="1">
        <v>45832.614618252315</v>
      </c>
      <c r="AP20" t="s">
        <v>51</v>
      </c>
      <c r="AQ20" t="s">
        <v>45</v>
      </c>
      <c r="AR20" t="s">
        <v>52</v>
      </c>
    </row>
    <row r="21" spans="1:48" x14ac:dyDescent="0.55000000000000004">
      <c r="A21">
        <v>1</v>
      </c>
      <c r="B21">
        <v>10</v>
      </c>
      <c r="C21">
        <v>0</v>
      </c>
      <c r="D21" t="s">
        <v>45</v>
      </c>
      <c r="E21" t="s">
        <v>482</v>
      </c>
      <c r="F21" t="s">
        <v>46</v>
      </c>
      <c r="G21" t="b">
        <v>0</v>
      </c>
      <c r="H21" s="1">
        <f>BVW_BTItemLot[[#This Row],[CreatedDateTime]]-TIME(7,0,0)</f>
        <v>45832.645386030097</v>
      </c>
      <c r="I21" s="1">
        <v>45832.937052696761</v>
      </c>
      <c r="J21" t="s">
        <v>117</v>
      </c>
      <c r="K21" t="b">
        <f ca="1">IF(BVW_BTItemLot[[#This Row],[Age]] &gt; 5, TRUE, FALSE)</f>
        <v>0</v>
      </c>
      <c r="L21" s="2">
        <f ca="1">ROUND(NOW()-BVW_BTItemLot[[#This Row],[UpdatedDateTime]],2)</f>
        <v>0.41</v>
      </c>
      <c r="M21" s="1">
        <v>45832.937052893518</v>
      </c>
      <c r="N21" t="s">
        <v>117</v>
      </c>
      <c r="Q21" t="s">
        <v>201</v>
      </c>
      <c r="S21" t="s">
        <v>47</v>
      </c>
      <c r="T21" t="s">
        <v>48</v>
      </c>
      <c r="U21" t="s">
        <v>49</v>
      </c>
      <c r="V21" t="s">
        <v>49</v>
      </c>
      <c r="W21" t="s">
        <v>138</v>
      </c>
      <c r="X21" t="s">
        <v>50</v>
      </c>
      <c r="Y21" t="s">
        <v>63</v>
      </c>
      <c r="Z21" t="s">
        <v>139</v>
      </c>
      <c r="AB21" t="s">
        <v>483</v>
      </c>
      <c r="AC21" t="s">
        <v>439</v>
      </c>
      <c r="AD21" t="s">
        <v>426</v>
      </c>
      <c r="AE21" t="s">
        <v>427</v>
      </c>
      <c r="AF21" t="s">
        <v>428</v>
      </c>
      <c r="AG21" t="b">
        <v>0</v>
      </c>
      <c r="AH21" t="b">
        <v>1</v>
      </c>
      <c r="AI21">
        <v>2</v>
      </c>
      <c r="AJ21">
        <v>1</v>
      </c>
      <c r="AK21">
        <v>2</v>
      </c>
      <c r="AL21">
        <v>0</v>
      </c>
      <c r="AM21" t="s">
        <v>47</v>
      </c>
      <c r="AN21" t="s">
        <v>67</v>
      </c>
      <c r="AO21" s="1">
        <v>45832.936807986109</v>
      </c>
      <c r="AP21" t="s">
        <v>51</v>
      </c>
      <c r="AQ21" t="s">
        <v>421</v>
      </c>
      <c r="AR21" t="s">
        <v>52</v>
      </c>
    </row>
    <row r="22" spans="1:48" x14ac:dyDescent="0.55000000000000004">
      <c r="A22">
        <v>1</v>
      </c>
      <c r="B22">
        <v>2</v>
      </c>
      <c r="C22">
        <v>8</v>
      </c>
      <c r="D22" t="s">
        <v>45</v>
      </c>
      <c r="E22" t="s">
        <v>484</v>
      </c>
      <c r="F22" t="s">
        <v>46</v>
      </c>
      <c r="G22" t="b">
        <v>0</v>
      </c>
      <c r="H22" s="1">
        <f>BVW_BTItemLot[[#This Row],[CreatedDateTime]]-TIME(7,0,0)</f>
        <v>45832.645141319445</v>
      </c>
      <c r="I22" s="1">
        <v>45832.936807986109</v>
      </c>
      <c r="J22" t="s">
        <v>117</v>
      </c>
      <c r="K22" t="b">
        <f ca="1">IF(BVW_BTItemLot[[#This Row],[Age]] &gt; 5, TRUE, FALSE)</f>
        <v>0</v>
      </c>
      <c r="L22" s="2">
        <f ca="1">ROUND(NOW()-BVW_BTItemLot[[#This Row],[UpdatedDateTime]],2)</f>
        <v>0.42</v>
      </c>
      <c r="M22" s="1">
        <v>45832.936808136576</v>
      </c>
      <c r="N22" t="s">
        <v>117</v>
      </c>
      <c r="Q22" t="s">
        <v>201</v>
      </c>
      <c r="S22" t="s">
        <v>47</v>
      </c>
      <c r="T22" t="s">
        <v>48</v>
      </c>
      <c r="U22" t="s">
        <v>49</v>
      </c>
      <c r="V22" t="s">
        <v>49</v>
      </c>
      <c r="W22" t="s">
        <v>138</v>
      </c>
      <c r="X22" t="s">
        <v>50</v>
      </c>
      <c r="Y22" t="s">
        <v>63</v>
      </c>
      <c r="Z22" t="s">
        <v>139</v>
      </c>
      <c r="AB22" t="s">
        <v>483</v>
      </c>
      <c r="AC22" t="s">
        <v>439</v>
      </c>
      <c r="AD22" t="s">
        <v>426</v>
      </c>
      <c r="AE22" t="s">
        <v>427</v>
      </c>
      <c r="AF22" t="s">
        <v>428</v>
      </c>
      <c r="AG22" t="b">
        <v>0</v>
      </c>
      <c r="AH22" t="b">
        <v>1</v>
      </c>
      <c r="AI22">
        <v>2</v>
      </c>
      <c r="AJ22">
        <v>1</v>
      </c>
      <c r="AK22">
        <v>2</v>
      </c>
      <c r="AL22">
        <v>0</v>
      </c>
      <c r="AM22" t="s">
        <v>47</v>
      </c>
      <c r="AN22" t="s">
        <v>67</v>
      </c>
      <c r="AO22" s="1">
        <v>45832.936807986109</v>
      </c>
      <c r="AP22" t="s">
        <v>51</v>
      </c>
      <c r="AQ22" t="s">
        <v>421</v>
      </c>
      <c r="AR22" t="s">
        <v>52</v>
      </c>
    </row>
    <row r="23" spans="1:48" x14ac:dyDescent="0.55000000000000004">
      <c r="A23">
        <v>1</v>
      </c>
      <c r="B23">
        <v>740</v>
      </c>
      <c r="C23">
        <v>580</v>
      </c>
      <c r="D23" t="s">
        <v>45</v>
      </c>
      <c r="E23" t="s">
        <v>485</v>
      </c>
      <c r="F23" t="s">
        <v>46</v>
      </c>
      <c r="G23" t="b">
        <v>0</v>
      </c>
      <c r="H23" s="1">
        <f>BVW_BTItemLot[[#This Row],[CreatedDateTime]]-TIME(7,0,0)</f>
        <v>45832.642552974539</v>
      </c>
      <c r="I23" s="1">
        <v>45832.934219641204</v>
      </c>
      <c r="J23" t="s">
        <v>255</v>
      </c>
      <c r="K23" t="b">
        <f ca="1">IF(BVW_BTItemLot[[#This Row],[Age]] &gt; 5, TRUE, FALSE)</f>
        <v>0</v>
      </c>
      <c r="L23" s="2">
        <f ca="1">ROUND(NOW()-BVW_BTItemLot[[#This Row],[UpdatedDateTime]],2)</f>
        <v>0.42</v>
      </c>
      <c r="M23" s="1">
        <v>45832.934654363424</v>
      </c>
      <c r="N23" t="s">
        <v>255</v>
      </c>
      <c r="Q23" t="s">
        <v>486</v>
      </c>
      <c r="S23" t="s">
        <v>47</v>
      </c>
      <c r="T23" t="s">
        <v>48</v>
      </c>
      <c r="U23" t="s">
        <v>49</v>
      </c>
      <c r="V23" t="s">
        <v>49</v>
      </c>
      <c r="W23" t="s">
        <v>58</v>
      </c>
      <c r="X23" t="s">
        <v>50</v>
      </c>
      <c r="Y23" t="s">
        <v>59</v>
      </c>
      <c r="AB23" t="s">
        <v>487</v>
      </c>
      <c r="AC23" t="s">
        <v>488</v>
      </c>
      <c r="AD23" t="s">
        <v>80</v>
      </c>
      <c r="AE23" t="s">
        <v>81</v>
      </c>
      <c r="AF23" t="s">
        <v>82</v>
      </c>
      <c r="AG23" t="b">
        <v>0</v>
      </c>
      <c r="AH23" t="b">
        <v>1</v>
      </c>
      <c r="AI23">
        <v>745</v>
      </c>
      <c r="AJ23">
        <v>1</v>
      </c>
      <c r="AK23">
        <v>745</v>
      </c>
      <c r="AL23">
        <v>0</v>
      </c>
      <c r="AM23" t="s">
        <v>47</v>
      </c>
      <c r="AN23" t="s">
        <v>194</v>
      </c>
      <c r="AO23" s="1">
        <v>45832.812425613425</v>
      </c>
      <c r="AP23" t="s">
        <v>51</v>
      </c>
      <c r="AQ23" t="s">
        <v>45</v>
      </c>
      <c r="AR23" t="s">
        <v>52</v>
      </c>
      <c r="AU23" t="s">
        <v>72</v>
      </c>
      <c r="AV23" t="s">
        <v>73</v>
      </c>
    </row>
    <row r="24" spans="1:48" x14ac:dyDescent="0.55000000000000004">
      <c r="A24">
        <v>1</v>
      </c>
      <c r="B24">
        <v>1365</v>
      </c>
      <c r="C24">
        <v>185</v>
      </c>
      <c r="D24" t="s">
        <v>45</v>
      </c>
      <c r="E24" t="s">
        <v>489</v>
      </c>
      <c r="F24" t="s">
        <v>46</v>
      </c>
      <c r="G24" t="b">
        <v>0</v>
      </c>
      <c r="H24" s="1">
        <f>BVW_BTItemLot[[#This Row],[CreatedDateTime]]-TIME(7,0,0)</f>
        <v>45832.637698460654</v>
      </c>
      <c r="I24" s="1">
        <v>45832.929365127318</v>
      </c>
      <c r="J24" t="s">
        <v>255</v>
      </c>
      <c r="K24" t="b">
        <f ca="1">IF(BVW_BTItemLot[[#This Row],[Age]] &gt; 5, TRUE, FALSE)</f>
        <v>0</v>
      </c>
      <c r="L24" s="2">
        <f ca="1">ROUND(NOW()-BVW_BTItemLot[[#This Row],[UpdatedDateTime]],2)</f>
        <v>0.42</v>
      </c>
      <c r="M24" s="1">
        <v>45832.930107523149</v>
      </c>
      <c r="N24" t="s">
        <v>255</v>
      </c>
      <c r="Q24" t="s">
        <v>384</v>
      </c>
      <c r="S24" t="s">
        <v>47</v>
      </c>
      <c r="T24" t="s">
        <v>48</v>
      </c>
      <c r="U24" t="s">
        <v>49</v>
      </c>
      <c r="V24" t="s">
        <v>49</v>
      </c>
      <c r="W24" t="s">
        <v>58</v>
      </c>
      <c r="X24" t="s">
        <v>50</v>
      </c>
      <c r="Y24" t="s">
        <v>59</v>
      </c>
      <c r="AB24" t="s">
        <v>490</v>
      </c>
      <c r="AC24" t="s">
        <v>488</v>
      </c>
      <c r="AD24" t="s">
        <v>108</v>
      </c>
      <c r="AE24" t="s">
        <v>109</v>
      </c>
      <c r="AF24" t="s">
        <v>110</v>
      </c>
      <c r="AG24" t="b">
        <v>0</v>
      </c>
      <c r="AH24" t="b">
        <v>1</v>
      </c>
      <c r="AI24">
        <v>1365</v>
      </c>
      <c r="AJ24">
        <v>1</v>
      </c>
      <c r="AK24">
        <v>1365</v>
      </c>
      <c r="AL24">
        <v>0</v>
      </c>
      <c r="AM24" t="s">
        <v>47</v>
      </c>
      <c r="AN24" t="s">
        <v>194</v>
      </c>
      <c r="AO24" s="1">
        <v>45832.929365127318</v>
      </c>
      <c r="AP24" t="s">
        <v>51</v>
      </c>
      <c r="AQ24" t="s">
        <v>45</v>
      </c>
      <c r="AR24" t="s">
        <v>52</v>
      </c>
      <c r="AS24" t="s">
        <v>79</v>
      </c>
      <c r="AU24" t="s">
        <v>54</v>
      </c>
    </row>
    <row r="25" spans="1:48" x14ac:dyDescent="0.55000000000000004">
      <c r="A25">
        <v>1</v>
      </c>
      <c r="B25">
        <v>1360</v>
      </c>
      <c r="C25">
        <v>185</v>
      </c>
      <c r="D25" t="s">
        <v>45</v>
      </c>
      <c r="E25" t="s">
        <v>491</v>
      </c>
      <c r="F25" t="s">
        <v>46</v>
      </c>
      <c r="G25" t="b">
        <v>0</v>
      </c>
      <c r="H25" s="1">
        <f>BVW_BTItemLot[[#This Row],[CreatedDateTime]]-TIME(7,0,0)</f>
        <v>45832.63617106482</v>
      </c>
      <c r="I25" s="1">
        <v>45832.927837731484</v>
      </c>
      <c r="J25" t="s">
        <v>86</v>
      </c>
      <c r="K25" t="b">
        <f ca="1">IF(BVW_BTItemLot[[#This Row],[Age]] &gt; 5, TRUE, FALSE)</f>
        <v>0</v>
      </c>
      <c r="L25" s="2">
        <f ca="1">ROUND(NOW()-BVW_BTItemLot[[#This Row],[UpdatedDateTime]],2)</f>
        <v>0.42</v>
      </c>
      <c r="M25" s="1">
        <v>45832.927837881944</v>
      </c>
      <c r="N25" t="s">
        <v>86</v>
      </c>
      <c r="Q25" t="s">
        <v>492</v>
      </c>
      <c r="S25" t="s">
        <v>47</v>
      </c>
      <c r="T25" t="s">
        <v>48</v>
      </c>
      <c r="U25" t="s">
        <v>49</v>
      </c>
      <c r="V25" t="s">
        <v>61</v>
      </c>
      <c r="W25" t="s">
        <v>76</v>
      </c>
      <c r="X25" t="s">
        <v>50</v>
      </c>
      <c r="Y25" t="s">
        <v>77</v>
      </c>
      <c r="Z25" t="s">
        <v>57</v>
      </c>
      <c r="AB25" t="s">
        <v>493</v>
      </c>
      <c r="AC25" t="s">
        <v>392</v>
      </c>
      <c r="AD25" t="s">
        <v>165</v>
      </c>
      <c r="AE25" t="s">
        <v>166</v>
      </c>
      <c r="AF25" t="s">
        <v>167</v>
      </c>
      <c r="AG25" t="b">
        <v>0</v>
      </c>
      <c r="AH25" t="b">
        <v>1</v>
      </c>
      <c r="AI25">
        <v>1360</v>
      </c>
      <c r="AJ25">
        <v>1</v>
      </c>
      <c r="AK25">
        <v>1360</v>
      </c>
      <c r="AL25">
        <v>0</v>
      </c>
      <c r="AM25" t="s">
        <v>47</v>
      </c>
      <c r="AN25" t="s">
        <v>112</v>
      </c>
      <c r="AO25" s="1">
        <v>45832.927837731484</v>
      </c>
      <c r="AP25" t="s">
        <v>51</v>
      </c>
      <c r="AQ25" t="s">
        <v>45</v>
      </c>
      <c r="AR25" t="s">
        <v>52</v>
      </c>
      <c r="AT25" t="s">
        <v>66</v>
      </c>
      <c r="AU25" t="s">
        <v>54</v>
      </c>
      <c r="AV25" t="s">
        <v>151</v>
      </c>
    </row>
    <row r="26" spans="1:48" x14ac:dyDescent="0.55000000000000004">
      <c r="A26">
        <v>1</v>
      </c>
      <c r="B26">
        <v>1441</v>
      </c>
      <c r="C26">
        <v>185</v>
      </c>
      <c r="D26" t="s">
        <v>45</v>
      </c>
      <c r="E26" t="s">
        <v>494</v>
      </c>
      <c r="F26" t="s">
        <v>46</v>
      </c>
      <c r="G26" t="b">
        <v>0</v>
      </c>
      <c r="H26" s="1">
        <f>BVW_BTItemLot[[#This Row],[CreatedDateTime]]-TIME(7,0,0)</f>
        <v>45832.633763541671</v>
      </c>
      <c r="I26" s="1">
        <v>45832.925430208335</v>
      </c>
      <c r="J26" t="s">
        <v>114</v>
      </c>
      <c r="K26" t="b">
        <f ca="1">IF(BVW_BTItemLot[[#This Row],[Age]] &gt; 5, TRUE, FALSE)</f>
        <v>0</v>
      </c>
      <c r="L26" s="2">
        <f ca="1">ROUND(NOW()-BVW_BTItemLot[[#This Row],[UpdatedDateTime]],2)</f>
        <v>0.43</v>
      </c>
      <c r="M26" s="1">
        <v>45832.926737847221</v>
      </c>
      <c r="N26" t="s">
        <v>114</v>
      </c>
      <c r="Q26" t="s">
        <v>226</v>
      </c>
      <c r="S26" t="s">
        <v>47</v>
      </c>
      <c r="T26" t="s">
        <v>48</v>
      </c>
      <c r="U26" t="s">
        <v>49</v>
      </c>
      <c r="V26" t="s">
        <v>61</v>
      </c>
      <c r="W26" t="s">
        <v>78</v>
      </c>
      <c r="X26" t="s">
        <v>50</v>
      </c>
      <c r="Y26" t="s">
        <v>77</v>
      </c>
      <c r="Z26" t="s">
        <v>50</v>
      </c>
      <c r="AB26" t="s">
        <v>495</v>
      </c>
      <c r="AC26" t="s">
        <v>425</v>
      </c>
      <c r="AD26" t="s">
        <v>80</v>
      </c>
      <c r="AE26" t="s">
        <v>81</v>
      </c>
      <c r="AF26" t="s">
        <v>82</v>
      </c>
      <c r="AG26" t="b">
        <v>0</v>
      </c>
      <c r="AH26" t="b">
        <v>1</v>
      </c>
      <c r="AI26">
        <v>1441</v>
      </c>
      <c r="AJ26">
        <v>1</v>
      </c>
      <c r="AK26">
        <v>1441</v>
      </c>
      <c r="AL26">
        <v>0</v>
      </c>
      <c r="AM26" t="s">
        <v>47</v>
      </c>
      <c r="AN26" t="s">
        <v>68</v>
      </c>
      <c r="AO26" s="1">
        <v>45832.925430208335</v>
      </c>
      <c r="AP26" t="s">
        <v>51</v>
      </c>
      <c r="AQ26" t="s">
        <v>45</v>
      </c>
      <c r="AR26" t="s">
        <v>52</v>
      </c>
      <c r="AU26" t="s">
        <v>72</v>
      </c>
      <c r="AV26" t="s">
        <v>73</v>
      </c>
    </row>
    <row r="27" spans="1:48" x14ac:dyDescent="0.55000000000000004">
      <c r="A27">
        <v>1</v>
      </c>
      <c r="B27">
        <v>834</v>
      </c>
      <c r="C27">
        <v>185</v>
      </c>
      <c r="D27" t="s">
        <v>45</v>
      </c>
      <c r="E27" t="s">
        <v>496</v>
      </c>
      <c r="F27" t="s">
        <v>46</v>
      </c>
      <c r="G27" t="b">
        <v>0</v>
      </c>
      <c r="H27" s="1">
        <f>BVW_BTItemLot[[#This Row],[CreatedDateTime]]-TIME(7,0,0)</f>
        <v>45832.622285069447</v>
      </c>
      <c r="I27" s="1">
        <v>45832.913951736111</v>
      </c>
      <c r="J27" t="s">
        <v>86</v>
      </c>
      <c r="K27" t="b">
        <f ca="1">IF(BVW_BTItemLot[[#This Row],[Age]] &gt; 5, TRUE, FALSE)</f>
        <v>0</v>
      </c>
      <c r="L27" s="2">
        <f ca="1">ROUND(NOW()-BVW_BTItemLot[[#This Row],[UpdatedDateTime]],2)</f>
        <v>0.19</v>
      </c>
      <c r="M27" s="1">
        <v>45833.159085266205</v>
      </c>
      <c r="N27" t="s">
        <v>497</v>
      </c>
      <c r="Q27" t="s">
        <v>396</v>
      </c>
      <c r="S27" t="s">
        <v>47</v>
      </c>
      <c r="T27" t="s">
        <v>48</v>
      </c>
      <c r="U27" t="s">
        <v>49</v>
      </c>
      <c r="V27" t="s">
        <v>61</v>
      </c>
      <c r="W27" t="s">
        <v>76</v>
      </c>
      <c r="X27" t="s">
        <v>50</v>
      </c>
      <c r="Y27" t="s">
        <v>77</v>
      </c>
      <c r="Z27" t="s">
        <v>57</v>
      </c>
      <c r="AB27" t="s">
        <v>498</v>
      </c>
      <c r="AC27" t="s">
        <v>431</v>
      </c>
      <c r="AD27" t="s">
        <v>178</v>
      </c>
      <c r="AE27" t="s">
        <v>179</v>
      </c>
      <c r="AF27" t="s">
        <v>180</v>
      </c>
      <c r="AG27" t="b">
        <v>0</v>
      </c>
      <c r="AH27" t="b">
        <v>1</v>
      </c>
      <c r="AI27">
        <v>867</v>
      </c>
      <c r="AJ27">
        <v>1</v>
      </c>
      <c r="AK27">
        <v>867</v>
      </c>
      <c r="AL27">
        <v>0</v>
      </c>
      <c r="AM27" t="s">
        <v>47</v>
      </c>
      <c r="AN27" t="s">
        <v>60</v>
      </c>
      <c r="AO27" s="1">
        <v>45832.813224224534</v>
      </c>
      <c r="AP27" t="s">
        <v>51</v>
      </c>
      <c r="AQ27" t="s">
        <v>45</v>
      </c>
      <c r="AR27" t="s">
        <v>52</v>
      </c>
      <c r="AT27" t="s">
        <v>53</v>
      </c>
      <c r="AU27" t="s">
        <v>54</v>
      </c>
      <c r="AV27" t="s">
        <v>74</v>
      </c>
    </row>
    <row r="28" spans="1:48" x14ac:dyDescent="0.55000000000000004">
      <c r="A28">
        <v>1</v>
      </c>
      <c r="B28">
        <v>1576</v>
      </c>
      <c r="C28">
        <v>185</v>
      </c>
      <c r="D28" t="s">
        <v>45</v>
      </c>
      <c r="E28" t="s">
        <v>499</v>
      </c>
      <c r="F28" t="s">
        <v>46</v>
      </c>
      <c r="G28" t="b">
        <v>0</v>
      </c>
      <c r="H28" s="1">
        <f>BVW_BTItemLot[[#This Row],[CreatedDateTime]]-TIME(7,0,0)</f>
        <v>45832.598829664355</v>
      </c>
      <c r="I28" s="1">
        <v>45832.89049633102</v>
      </c>
      <c r="J28" t="s">
        <v>409</v>
      </c>
      <c r="K28" t="b">
        <f ca="1">IF(BVW_BTItemLot[[#This Row],[Age]] &gt; 5, TRUE, FALSE)</f>
        <v>0</v>
      </c>
      <c r="L28" s="2">
        <f ca="1">ROUND(NOW()-BVW_BTItemLot[[#This Row],[UpdatedDateTime]],2)</f>
        <v>0.46</v>
      </c>
      <c r="M28" s="1">
        <v>45832.891014120367</v>
      </c>
      <c r="N28" t="s">
        <v>500</v>
      </c>
      <c r="O28" t="s">
        <v>149</v>
      </c>
      <c r="Q28" t="s">
        <v>201</v>
      </c>
      <c r="S28" t="s">
        <v>47</v>
      </c>
      <c r="T28" t="s">
        <v>48</v>
      </c>
      <c r="U28" t="s">
        <v>49</v>
      </c>
      <c r="V28" t="s">
        <v>61</v>
      </c>
      <c r="W28" t="s">
        <v>76</v>
      </c>
      <c r="X28" t="s">
        <v>50</v>
      </c>
      <c r="Y28" t="s">
        <v>77</v>
      </c>
      <c r="Z28" t="s">
        <v>57</v>
      </c>
      <c r="AB28" t="s">
        <v>501</v>
      </c>
      <c r="AC28" t="s">
        <v>435</v>
      </c>
      <c r="AD28" t="s">
        <v>161</v>
      </c>
      <c r="AE28" t="s">
        <v>162</v>
      </c>
      <c r="AF28" t="s">
        <v>163</v>
      </c>
      <c r="AG28" t="b">
        <v>0</v>
      </c>
      <c r="AH28" t="b">
        <v>1</v>
      </c>
      <c r="AI28">
        <v>1567</v>
      </c>
      <c r="AJ28">
        <v>1</v>
      </c>
      <c r="AK28">
        <v>1567</v>
      </c>
      <c r="AL28">
        <v>0</v>
      </c>
      <c r="AM28" t="s">
        <v>47</v>
      </c>
      <c r="AN28" t="s">
        <v>150</v>
      </c>
      <c r="AO28" s="1">
        <v>45832.824494525463</v>
      </c>
      <c r="AP28" t="s">
        <v>51</v>
      </c>
      <c r="AQ28" t="s">
        <v>45</v>
      </c>
      <c r="AR28" t="s">
        <v>52</v>
      </c>
      <c r="AT28" t="s">
        <v>66</v>
      </c>
      <c r="AU28" t="s">
        <v>54</v>
      </c>
      <c r="AV28" t="s">
        <v>164</v>
      </c>
    </row>
    <row r="29" spans="1:48" x14ac:dyDescent="0.55000000000000004">
      <c r="A29">
        <v>1</v>
      </c>
      <c r="B29">
        <v>1353</v>
      </c>
      <c r="C29">
        <v>185</v>
      </c>
      <c r="D29" t="s">
        <v>45</v>
      </c>
      <c r="E29" t="s">
        <v>502</v>
      </c>
      <c r="F29" t="s">
        <v>46</v>
      </c>
      <c r="G29" t="b">
        <v>0</v>
      </c>
      <c r="H29" s="1">
        <f>BVW_BTItemLot[[#This Row],[CreatedDateTime]]-TIME(7,0,0)</f>
        <v>45832.574529976853</v>
      </c>
      <c r="I29" s="1">
        <v>45832.866196643517</v>
      </c>
      <c r="J29" t="s">
        <v>114</v>
      </c>
      <c r="K29" t="b">
        <f ca="1">IF(BVW_BTItemLot[[#This Row],[Age]] &gt; 5, TRUE, FALSE)</f>
        <v>0</v>
      </c>
      <c r="L29" s="2">
        <f ca="1">ROUND(NOW()-BVW_BTItemLot[[#This Row],[UpdatedDateTime]],2)</f>
        <v>0.49</v>
      </c>
      <c r="M29" s="1">
        <v>45832.866481712961</v>
      </c>
      <c r="N29" t="s">
        <v>114</v>
      </c>
      <c r="Q29" t="s">
        <v>293</v>
      </c>
      <c r="S29" t="s">
        <v>47</v>
      </c>
      <c r="T29" t="s">
        <v>48</v>
      </c>
      <c r="U29" t="s">
        <v>49</v>
      </c>
      <c r="V29" t="s">
        <v>61</v>
      </c>
      <c r="W29" t="s">
        <v>78</v>
      </c>
      <c r="X29" t="s">
        <v>50</v>
      </c>
      <c r="Y29" t="s">
        <v>77</v>
      </c>
      <c r="Z29" t="s">
        <v>50</v>
      </c>
      <c r="AB29" t="s">
        <v>503</v>
      </c>
      <c r="AC29" t="s">
        <v>425</v>
      </c>
      <c r="AD29" t="s">
        <v>135</v>
      </c>
      <c r="AE29" t="s">
        <v>136</v>
      </c>
      <c r="AF29" t="s">
        <v>137</v>
      </c>
      <c r="AG29" t="b">
        <v>0</v>
      </c>
      <c r="AH29" t="b">
        <v>1</v>
      </c>
      <c r="AI29">
        <v>1353</v>
      </c>
      <c r="AJ29">
        <v>1</v>
      </c>
      <c r="AK29">
        <v>1353</v>
      </c>
      <c r="AL29">
        <v>0</v>
      </c>
      <c r="AM29" t="s">
        <v>47</v>
      </c>
      <c r="AN29" t="s">
        <v>68</v>
      </c>
      <c r="AO29" s="1">
        <v>45832.866196643517</v>
      </c>
      <c r="AP29" t="s">
        <v>51</v>
      </c>
      <c r="AQ29" t="s">
        <v>45</v>
      </c>
      <c r="AR29" t="s">
        <v>52</v>
      </c>
      <c r="AU29" t="s">
        <v>54</v>
      </c>
      <c r="AV29" t="s">
        <v>74</v>
      </c>
    </row>
    <row r="30" spans="1:48" x14ac:dyDescent="0.55000000000000004">
      <c r="A30">
        <v>1</v>
      </c>
      <c r="B30">
        <v>1604</v>
      </c>
      <c r="C30">
        <v>185</v>
      </c>
      <c r="D30" t="s">
        <v>45</v>
      </c>
      <c r="E30" t="s">
        <v>504</v>
      </c>
      <c r="F30" t="s">
        <v>46</v>
      </c>
      <c r="G30" t="b">
        <v>0</v>
      </c>
      <c r="H30" s="1">
        <f>BVW_BTItemLot[[#This Row],[CreatedDateTime]]-TIME(7,0,0)</f>
        <v>45832.570438622686</v>
      </c>
      <c r="I30" s="1">
        <v>45832.86210528935</v>
      </c>
      <c r="J30" t="s">
        <v>114</v>
      </c>
      <c r="K30" t="b">
        <f ca="1">IF(BVW_BTItemLot[[#This Row],[Age]] &gt; 5, TRUE, FALSE)</f>
        <v>0</v>
      </c>
      <c r="L30" s="2">
        <f ca="1">ROUND(NOW()-BVW_BTItemLot[[#This Row],[UpdatedDateTime]],2)</f>
        <v>0.36</v>
      </c>
      <c r="M30" s="1">
        <v>45832.988760729168</v>
      </c>
      <c r="N30" t="s">
        <v>62</v>
      </c>
      <c r="Q30" t="s">
        <v>325</v>
      </c>
      <c r="S30" t="s">
        <v>47</v>
      </c>
      <c r="T30" t="s">
        <v>48</v>
      </c>
      <c r="U30" t="s">
        <v>49</v>
      </c>
      <c r="V30" t="s">
        <v>61</v>
      </c>
      <c r="W30" t="s">
        <v>76</v>
      </c>
      <c r="X30" t="s">
        <v>50</v>
      </c>
      <c r="Y30" t="s">
        <v>77</v>
      </c>
      <c r="Z30" t="s">
        <v>57</v>
      </c>
      <c r="AB30" t="s">
        <v>505</v>
      </c>
      <c r="AC30" t="s">
        <v>425</v>
      </c>
      <c r="AD30" t="s">
        <v>143</v>
      </c>
      <c r="AE30" t="s">
        <v>144</v>
      </c>
      <c r="AF30" t="s">
        <v>145</v>
      </c>
      <c r="AG30" t="b">
        <v>0</v>
      </c>
      <c r="AH30" t="b">
        <v>1</v>
      </c>
      <c r="AI30">
        <v>1604</v>
      </c>
      <c r="AJ30">
        <v>1</v>
      </c>
      <c r="AK30">
        <v>1604</v>
      </c>
      <c r="AL30">
        <v>0</v>
      </c>
      <c r="AM30" t="s">
        <v>47</v>
      </c>
      <c r="AN30" t="s">
        <v>68</v>
      </c>
      <c r="AO30" s="1">
        <v>45832.86210528935</v>
      </c>
      <c r="AP30" t="s">
        <v>51</v>
      </c>
      <c r="AQ30" t="s">
        <v>45</v>
      </c>
      <c r="AR30" t="s">
        <v>52</v>
      </c>
      <c r="AT30" t="s">
        <v>66</v>
      </c>
      <c r="AU30" t="s">
        <v>72</v>
      </c>
      <c r="AV30" t="s">
        <v>73</v>
      </c>
    </row>
    <row r="31" spans="1:48" x14ac:dyDescent="0.55000000000000004">
      <c r="A31">
        <v>1</v>
      </c>
      <c r="B31">
        <v>800</v>
      </c>
      <c r="C31">
        <v>580</v>
      </c>
      <c r="D31" t="s">
        <v>45</v>
      </c>
      <c r="E31" t="s">
        <v>506</v>
      </c>
      <c r="F31" t="s">
        <v>46</v>
      </c>
      <c r="G31" t="b">
        <v>0</v>
      </c>
      <c r="H31" s="1">
        <f>BVW_BTItemLot[[#This Row],[CreatedDateTime]]-TIME(7,0,0)</f>
        <v>45832.565335879633</v>
      </c>
      <c r="I31" s="1">
        <v>45832.857002546298</v>
      </c>
      <c r="J31" t="s">
        <v>255</v>
      </c>
      <c r="K31" t="b">
        <f ca="1">IF(BVW_BTItemLot[[#This Row],[Age]] &gt; 5, TRUE, FALSE)</f>
        <v>0</v>
      </c>
      <c r="L31" s="2">
        <f ca="1">ROUND(NOW()-BVW_BTItemLot[[#This Row],[UpdatedDateTime]],2)</f>
        <v>0.49</v>
      </c>
      <c r="M31" s="1">
        <v>45832.857583946759</v>
      </c>
      <c r="N31" t="s">
        <v>255</v>
      </c>
      <c r="Q31" t="s">
        <v>507</v>
      </c>
      <c r="S31" t="s">
        <v>47</v>
      </c>
      <c r="T31" t="s">
        <v>48</v>
      </c>
      <c r="U31" t="s">
        <v>49</v>
      </c>
      <c r="V31" t="s">
        <v>49</v>
      </c>
      <c r="W31" t="s">
        <v>64</v>
      </c>
      <c r="X31" t="s">
        <v>50</v>
      </c>
      <c r="Y31" t="s">
        <v>65</v>
      </c>
      <c r="AB31" t="s">
        <v>508</v>
      </c>
      <c r="AC31" t="s">
        <v>488</v>
      </c>
      <c r="AD31" t="s">
        <v>415</v>
      </c>
      <c r="AE31" t="s">
        <v>416</v>
      </c>
      <c r="AF31" t="s">
        <v>417</v>
      </c>
      <c r="AG31" t="b">
        <v>0</v>
      </c>
      <c r="AH31" t="b">
        <v>1</v>
      </c>
      <c r="AI31">
        <v>800</v>
      </c>
      <c r="AJ31">
        <v>1</v>
      </c>
      <c r="AK31">
        <v>800</v>
      </c>
      <c r="AL31">
        <v>0</v>
      </c>
      <c r="AM31" t="s">
        <v>47</v>
      </c>
      <c r="AN31" t="s">
        <v>194</v>
      </c>
      <c r="AO31" s="1">
        <v>45832.857002546298</v>
      </c>
      <c r="AP31" t="s">
        <v>51</v>
      </c>
      <c r="AQ31" t="s">
        <v>45</v>
      </c>
      <c r="AR31" t="s">
        <v>52</v>
      </c>
      <c r="AS31" t="s">
        <v>55</v>
      </c>
      <c r="AU31" t="s">
        <v>107</v>
      </c>
      <c r="AV31" t="s">
        <v>107</v>
      </c>
    </row>
    <row r="32" spans="1:48" x14ac:dyDescent="0.55000000000000004">
      <c r="A32">
        <v>1</v>
      </c>
      <c r="B32">
        <v>1342</v>
      </c>
      <c r="C32">
        <v>185</v>
      </c>
      <c r="D32" t="s">
        <v>45</v>
      </c>
      <c r="E32" t="s">
        <v>509</v>
      </c>
      <c r="F32" t="s">
        <v>46</v>
      </c>
      <c r="G32" t="b">
        <v>0</v>
      </c>
      <c r="H32" s="1">
        <f>BVW_BTItemLot[[#This Row],[CreatedDateTime]]-TIME(7,0,0)</f>
        <v>45832.533793634262</v>
      </c>
      <c r="I32" s="1">
        <v>45832.825460300926</v>
      </c>
      <c r="J32" t="s">
        <v>117</v>
      </c>
      <c r="K32" t="b">
        <f ca="1">IF(BVW_BTItemLot[[#This Row],[Age]] &gt; 5, TRUE, FALSE)</f>
        <v>0</v>
      </c>
      <c r="L32" s="2">
        <f ca="1">ROUND(NOW()-BVW_BTItemLot[[#This Row],[UpdatedDateTime]],2)</f>
        <v>0.53</v>
      </c>
      <c r="M32" s="1">
        <v>45832.825460451386</v>
      </c>
      <c r="N32" t="s">
        <v>117</v>
      </c>
      <c r="Q32" t="s">
        <v>226</v>
      </c>
      <c r="S32" t="s">
        <v>47</v>
      </c>
      <c r="T32" t="s">
        <v>48</v>
      </c>
      <c r="U32" t="s">
        <v>49</v>
      </c>
      <c r="V32" t="s">
        <v>49</v>
      </c>
      <c r="W32" t="s">
        <v>138</v>
      </c>
      <c r="X32" t="s">
        <v>50</v>
      </c>
      <c r="Y32" t="s">
        <v>63</v>
      </c>
      <c r="Z32" t="s">
        <v>139</v>
      </c>
      <c r="AB32" t="s">
        <v>510</v>
      </c>
      <c r="AC32" t="s">
        <v>511</v>
      </c>
      <c r="AD32" t="s">
        <v>108</v>
      </c>
      <c r="AE32" t="s">
        <v>109</v>
      </c>
      <c r="AF32" t="s">
        <v>110</v>
      </c>
      <c r="AG32" t="b">
        <v>0</v>
      </c>
      <c r="AH32" t="b">
        <v>1</v>
      </c>
      <c r="AI32">
        <v>1342</v>
      </c>
      <c r="AJ32">
        <v>1</v>
      </c>
      <c r="AK32">
        <v>1342</v>
      </c>
      <c r="AL32">
        <v>0</v>
      </c>
      <c r="AM32" t="s">
        <v>47</v>
      </c>
      <c r="AN32" t="s">
        <v>67</v>
      </c>
      <c r="AO32" s="1">
        <v>45832.825460300926</v>
      </c>
      <c r="AP32" t="s">
        <v>51</v>
      </c>
      <c r="AQ32" t="s">
        <v>45</v>
      </c>
      <c r="AR32" t="s">
        <v>52</v>
      </c>
      <c r="AS32" t="s">
        <v>79</v>
      </c>
      <c r="AU32" t="s">
        <v>54</v>
      </c>
    </row>
    <row r="33" spans="1:48" x14ac:dyDescent="0.55000000000000004">
      <c r="A33">
        <v>1</v>
      </c>
      <c r="B33">
        <v>842</v>
      </c>
      <c r="C33">
        <v>500</v>
      </c>
      <c r="D33" t="s">
        <v>45</v>
      </c>
      <c r="E33" t="s">
        <v>512</v>
      </c>
      <c r="F33" t="s">
        <v>46</v>
      </c>
      <c r="G33" t="b">
        <v>0</v>
      </c>
      <c r="H33" s="1">
        <f>BVW_BTItemLot[[#This Row],[CreatedDateTime]]-TIME(7,0,0)</f>
        <v>45832.515304745371</v>
      </c>
      <c r="I33" s="1">
        <v>45832.806971412036</v>
      </c>
      <c r="J33" t="s">
        <v>86</v>
      </c>
      <c r="K33" t="b">
        <f ca="1">IF(BVW_BTItemLot[[#This Row],[Age]] &gt; 5, TRUE, FALSE)</f>
        <v>0</v>
      </c>
      <c r="L33" s="2">
        <f ca="1">ROUND(NOW()-BVW_BTItemLot[[#This Row],[UpdatedDateTime]],2)</f>
        <v>0.54</v>
      </c>
      <c r="M33" s="1">
        <v>45832.807282951391</v>
      </c>
      <c r="N33" t="s">
        <v>86</v>
      </c>
      <c r="Q33" t="s">
        <v>182</v>
      </c>
      <c r="S33" t="s">
        <v>47</v>
      </c>
      <c r="T33" t="s">
        <v>48</v>
      </c>
      <c r="U33" t="s">
        <v>49</v>
      </c>
      <c r="V33" t="s">
        <v>49</v>
      </c>
      <c r="W33" t="s">
        <v>58</v>
      </c>
      <c r="X33" t="s">
        <v>50</v>
      </c>
      <c r="Y33" t="s">
        <v>59</v>
      </c>
      <c r="AB33" t="s">
        <v>513</v>
      </c>
      <c r="AC33" t="s">
        <v>431</v>
      </c>
      <c r="AD33" t="s">
        <v>514</v>
      </c>
      <c r="AE33" t="s">
        <v>515</v>
      </c>
      <c r="AF33" t="s">
        <v>516</v>
      </c>
      <c r="AG33" t="b">
        <v>0</v>
      </c>
      <c r="AH33" t="b">
        <v>1</v>
      </c>
      <c r="AI33">
        <v>842</v>
      </c>
      <c r="AJ33">
        <v>1</v>
      </c>
      <c r="AK33">
        <v>842</v>
      </c>
      <c r="AL33">
        <v>0</v>
      </c>
      <c r="AM33" t="s">
        <v>47</v>
      </c>
      <c r="AN33" t="s">
        <v>60</v>
      </c>
      <c r="AO33" s="1">
        <v>45832.806971412036</v>
      </c>
      <c r="AP33" t="s">
        <v>51</v>
      </c>
      <c r="AQ33" t="s">
        <v>45</v>
      </c>
      <c r="AR33" t="s">
        <v>52</v>
      </c>
      <c r="AT33" t="s">
        <v>53</v>
      </c>
      <c r="AU33" t="s">
        <v>54</v>
      </c>
      <c r="AV33" t="s">
        <v>176</v>
      </c>
    </row>
    <row r="34" spans="1:48" x14ac:dyDescent="0.55000000000000004">
      <c r="A34">
        <v>1</v>
      </c>
      <c r="B34">
        <v>1732</v>
      </c>
      <c r="C34">
        <v>185</v>
      </c>
      <c r="D34" t="s">
        <v>45</v>
      </c>
      <c r="E34" t="s">
        <v>517</v>
      </c>
      <c r="F34" t="s">
        <v>46</v>
      </c>
      <c r="G34" t="b">
        <v>0</v>
      </c>
      <c r="H34" s="1">
        <f>BVW_BTItemLot[[#This Row],[CreatedDateTime]]-TIME(7,0,0)</f>
        <v>45832.513628854169</v>
      </c>
      <c r="I34" s="1">
        <v>45832.805295520833</v>
      </c>
      <c r="J34" t="s">
        <v>114</v>
      </c>
      <c r="K34" t="b">
        <f ca="1">IF(BVW_BTItemLot[[#This Row],[Age]] &gt; 5, TRUE, FALSE)</f>
        <v>0</v>
      </c>
      <c r="L34" s="2">
        <f ca="1">ROUND(NOW()-BVW_BTItemLot[[#This Row],[UpdatedDateTime]],2)</f>
        <v>0.55000000000000004</v>
      </c>
      <c r="M34" s="1">
        <v>45832.806558599535</v>
      </c>
      <c r="N34" t="s">
        <v>114</v>
      </c>
      <c r="Q34" t="s">
        <v>175</v>
      </c>
      <c r="S34" t="s">
        <v>47</v>
      </c>
      <c r="T34" t="s">
        <v>48</v>
      </c>
      <c r="U34" t="s">
        <v>49</v>
      </c>
      <c r="V34" t="s">
        <v>61</v>
      </c>
      <c r="W34" t="s">
        <v>76</v>
      </c>
      <c r="X34" t="s">
        <v>50</v>
      </c>
      <c r="Y34" t="s">
        <v>77</v>
      </c>
      <c r="Z34" t="s">
        <v>57</v>
      </c>
      <c r="AB34" t="s">
        <v>518</v>
      </c>
      <c r="AC34" t="s">
        <v>425</v>
      </c>
      <c r="AD34" t="s">
        <v>258</v>
      </c>
      <c r="AE34" t="s">
        <v>259</v>
      </c>
      <c r="AF34" t="s">
        <v>260</v>
      </c>
      <c r="AG34" t="b">
        <v>0</v>
      </c>
      <c r="AH34" t="b">
        <v>1</v>
      </c>
      <c r="AI34">
        <v>1732</v>
      </c>
      <c r="AJ34">
        <v>1</v>
      </c>
      <c r="AK34">
        <v>1732</v>
      </c>
      <c r="AL34">
        <v>0</v>
      </c>
      <c r="AM34" t="s">
        <v>47</v>
      </c>
      <c r="AN34" t="s">
        <v>68</v>
      </c>
      <c r="AO34" s="1">
        <v>45832.805295520833</v>
      </c>
      <c r="AP34" t="s">
        <v>51</v>
      </c>
      <c r="AQ34" t="s">
        <v>45</v>
      </c>
      <c r="AR34" t="s">
        <v>52</v>
      </c>
      <c r="AT34" t="s">
        <v>66</v>
      </c>
      <c r="AU34" t="s">
        <v>54</v>
      </c>
      <c r="AV34" t="s">
        <v>74</v>
      </c>
    </row>
    <row r="35" spans="1:48" x14ac:dyDescent="0.55000000000000004">
      <c r="A35">
        <v>1</v>
      </c>
      <c r="B35">
        <v>1174</v>
      </c>
      <c r="C35">
        <v>185</v>
      </c>
      <c r="D35" t="s">
        <v>45</v>
      </c>
      <c r="E35" t="s">
        <v>519</v>
      </c>
      <c r="F35" t="s">
        <v>46</v>
      </c>
      <c r="G35" t="b">
        <v>0</v>
      </c>
      <c r="H35" s="1">
        <f>BVW_BTItemLot[[#This Row],[CreatedDateTime]]-TIME(7,0,0)</f>
        <v>45832.470948113427</v>
      </c>
      <c r="I35" s="1">
        <v>45832.762614780091</v>
      </c>
      <c r="J35" t="s">
        <v>114</v>
      </c>
      <c r="K35" t="b">
        <f ca="1">IF(BVW_BTItemLot[[#This Row],[Age]] &gt; 5, TRUE, FALSE)</f>
        <v>0</v>
      </c>
      <c r="L35" s="2">
        <f ca="1">ROUND(NOW()-BVW_BTItemLot[[#This Row],[UpdatedDateTime]],2)</f>
        <v>0.59</v>
      </c>
      <c r="M35" s="1">
        <v>45832.763073148148</v>
      </c>
      <c r="N35" t="s">
        <v>114</v>
      </c>
      <c r="Q35" t="s">
        <v>520</v>
      </c>
      <c r="S35" t="s">
        <v>47</v>
      </c>
      <c r="T35" t="s">
        <v>48</v>
      </c>
      <c r="U35" t="s">
        <v>49</v>
      </c>
      <c r="V35" t="s">
        <v>61</v>
      </c>
      <c r="W35" t="s">
        <v>76</v>
      </c>
      <c r="X35" t="s">
        <v>50</v>
      </c>
      <c r="Y35" t="s">
        <v>77</v>
      </c>
      <c r="Z35" t="s">
        <v>57</v>
      </c>
      <c r="AB35" t="s">
        <v>521</v>
      </c>
      <c r="AC35" t="s">
        <v>425</v>
      </c>
      <c r="AD35" t="s">
        <v>249</v>
      </c>
      <c r="AE35" t="s">
        <v>250</v>
      </c>
      <c r="AF35" t="s">
        <v>251</v>
      </c>
      <c r="AG35" t="b">
        <v>0</v>
      </c>
      <c r="AH35" t="b">
        <v>1</v>
      </c>
      <c r="AI35">
        <v>1174</v>
      </c>
      <c r="AJ35">
        <v>1</v>
      </c>
      <c r="AK35">
        <v>1174</v>
      </c>
      <c r="AL35">
        <v>0</v>
      </c>
      <c r="AM35" t="s">
        <v>47</v>
      </c>
      <c r="AN35" t="s">
        <v>68</v>
      </c>
      <c r="AO35" s="1">
        <v>45832.762614780091</v>
      </c>
      <c r="AP35" t="s">
        <v>51</v>
      </c>
      <c r="AQ35" t="s">
        <v>45</v>
      </c>
      <c r="AR35" t="s">
        <v>52</v>
      </c>
      <c r="AT35" t="s">
        <v>66</v>
      </c>
      <c r="AU35" t="s">
        <v>54</v>
      </c>
      <c r="AV35" t="s">
        <v>176</v>
      </c>
    </row>
    <row r="36" spans="1:48" x14ac:dyDescent="0.55000000000000004">
      <c r="A36">
        <v>1</v>
      </c>
      <c r="B36">
        <v>956</v>
      </c>
      <c r="C36">
        <v>500</v>
      </c>
      <c r="D36" t="s">
        <v>45</v>
      </c>
      <c r="E36" t="s">
        <v>522</v>
      </c>
      <c r="F36" t="s">
        <v>46</v>
      </c>
      <c r="G36" t="b">
        <v>0</v>
      </c>
      <c r="H36" s="1">
        <f>BVW_BTItemLot[[#This Row],[CreatedDateTime]]-TIME(7,0,0)</f>
        <v>45832.430176539354</v>
      </c>
      <c r="I36" s="1">
        <v>45832.721843206018</v>
      </c>
      <c r="J36" t="s">
        <v>86</v>
      </c>
      <c r="K36" t="b">
        <f ca="1">IF(BVW_BTItemLot[[#This Row],[Age]] &gt; 5, TRUE, FALSE)</f>
        <v>0</v>
      </c>
      <c r="L36" s="2">
        <f ca="1">ROUND(NOW()-BVW_BTItemLot[[#This Row],[UpdatedDateTime]],2)</f>
        <v>0.63</v>
      </c>
      <c r="M36" s="1">
        <v>45832.722118136575</v>
      </c>
      <c r="N36" t="s">
        <v>86</v>
      </c>
      <c r="Q36" t="s">
        <v>523</v>
      </c>
      <c r="S36" t="s">
        <v>47</v>
      </c>
      <c r="T36" t="s">
        <v>48</v>
      </c>
      <c r="U36" t="s">
        <v>49</v>
      </c>
      <c r="V36" t="s">
        <v>49</v>
      </c>
      <c r="W36" t="s">
        <v>58</v>
      </c>
      <c r="X36" t="s">
        <v>50</v>
      </c>
      <c r="Y36" t="s">
        <v>59</v>
      </c>
      <c r="AB36" t="s">
        <v>524</v>
      </c>
      <c r="AC36" t="s">
        <v>431</v>
      </c>
      <c r="AD36" t="s">
        <v>83</v>
      </c>
      <c r="AE36" t="s">
        <v>84</v>
      </c>
      <c r="AF36" t="s">
        <v>85</v>
      </c>
      <c r="AG36" t="b">
        <v>0</v>
      </c>
      <c r="AH36" t="b">
        <v>1</v>
      </c>
      <c r="AI36">
        <v>956</v>
      </c>
      <c r="AJ36">
        <v>1</v>
      </c>
      <c r="AK36">
        <v>956</v>
      </c>
      <c r="AL36">
        <v>0</v>
      </c>
      <c r="AM36" t="s">
        <v>47</v>
      </c>
      <c r="AN36" t="s">
        <v>60</v>
      </c>
      <c r="AO36" s="1">
        <v>45832.721843206018</v>
      </c>
      <c r="AP36" t="s">
        <v>51</v>
      </c>
      <c r="AQ36" t="s">
        <v>45</v>
      </c>
      <c r="AR36" t="s">
        <v>52</v>
      </c>
      <c r="AT36" t="s">
        <v>53</v>
      </c>
      <c r="AU36" t="s">
        <v>72</v>
      </c>
      <c r="AV36" t="s">
        <v>73</v>
      </c>
    </row>
    <row r="37" spans="1:48" x14ac:dyDescent="0.55000000000000004">
      <c r="A37">
        <v>1</v>
      </c>
      <c r="B37">
        <v>2</v>
      </c>
      <c r="C37">
        <v>8</v>
      </c>
      <c r="D37" t="s">
        <v>45</v>
      </c>
      <c r="E37" t="s">
        <v>525</v>
      </c>
      <c r="F37" t="s">
        <v>46</v>
      </c>
      <c r="G37" t="b">
        <v>0</v>
      </c>
      <c r="H37" s="1">
        <f>BVW_BTItemLot[[#This Row],[CreatedDateTime]]-TIME(7,0,0)</f>
        <v>45832.32082893519</v>
      </c>
      <c r="I37" s="1">
        <v>45832.612495601854</v>
      </c>
      <c r="J37" t="s">
        <v>205</v>
      </c>
      <c r="K37" t="b">
        <f ca="1">IF(BVW_BTItemLot[[#This Row],[Age]] &gt; 5, TRUE, FALSE)</f>
        <v>0</v>
      </c>
      <c r="L37" s="2">
        <f ca="1">ROUND(NOW()-BVW_BTItemLot[[#This Row],[UpdatedDateTime]],2)</f>
        <v>0.74</v>
      </c>
      <c r="M37" s="1">
        <v>45832.61249579861</v>
      </c>
      <c r="N37" t="s">
        <v>205</v>
      </c>
      <c r="Q37" t="s">
        <v>526</v>
      </c>
      <c r="S37" t="s">
        <v>47</v>
      </c>
      <c r="T37" t="s">
        <v>48</v>
      </c>
      <c r="U37" t="s">
        <v>49</v>
      </c>
      <c r="V37" t="s">
        <v>49</v>
      </c>
      <c r="W37" t="s">
        <v>146</v>
      </c>
      <c r="X37" t="s">
        <v>50</v>
      </c>
      <c r="Y37" t="s">
        <v>63</v>
      </c>
      <c r="Z37" t="s">
        <v>147</v>
      </c>
      <c r="AB37" t="s">
        <v>527</v>
      </c>
      <c r="AC37" t="s">
        <v>431</v>
      </c>
      <c r="AD37" t="s">
        <v>426</v>
      </c>
      <c r="AE37" t="s">
        <v>427</v>
      </c>
      <c r="AF37" t="s">
        <v>428</v>
      </c>
      <c r="AG37" t="b">
        <v>0</v>
      </c>
      <c r="AH37" t="b">
        <v>1</v>
      </c>
      <c r="AI37">
        <v>2</v>
      </c>
      <c r="AJ37">
        <v>1</v>
      </c>
      <c r="AK37">
        <v>2</v>
      </c>
      <c r="AL37">
        <v>0</v>
      </c>
      <c r="AM37" t="s">
        <v>47</v>
      </c>
      <c r="AN37" t="s">
        <v>60</v>
      </c>
      <c r="AO37" s="1">
        <v>45832.612495601854</v>
      </c>
      <c r="AP37" t="s">
        <v>51</v>
      </c>
      <c r="AQ37" t="s">
        <v>421</v>
      </c>
      <c r="AR37" t="s">
        <v>52</v>
      </c>
    </row>
    <row r="38" spans="1:48" x14ac:dyDescent="0.55000000000000004">
      <c r="A38">
        <v>1</v>
      </c>
      <c r="B38">
        <v>14</v>
      </c>
      <c r="C38">
        <v>8</v>
      </c>
      <c r="D38" t="s">
        <v>45</v>
      </c>
      <c r="E38" t="s">
        <v>528</v>
      </c>
      <c r="F38" t="s">
        <v>46</v>
      </c>
      <c r="G38" t="b">
        <v>0</v>
      </c>
      <c r="H38" s="1">
        <f>BVW_BTItemLot[[#This Row],[CreatedDateTime]]-TIME(7,0,0)</f>
        <v>45832.310316006944</v>
      </c>
      <c r="I38" s="1">
        <v>45832.601982673608</v>
      </c>
      <c r="J38" t="s">
        <v>193</v>
      </c>
      <c r="K38" t="b">
        <f ca="1">IF(BVW_BTItemLot[[#This Row],[Age]] &gt; 5, TRUE, FALSE)</f>
        <v>0</v>
      </c>
      <c r="L38" s="2">
        <f ca="1">ROUND(NOW()-BVW_BTItemLot[[#This Row],[UpdatedDateTime]],2)</f>
        <v>0.75</v>
      </c>
      <c r="M38" s="1">
        <v>45832.601982870372</v>
      </c>
      <c r="N38" t="s">
        <v>193</v>
      </c>
      <c r="Q38" t="s">
        <v>423</v>
      </c>
      <c r="S38" t="s">
        <v>47</v>
      </c>
      <c r="T38" t="s">
        <v>48</v>
      </c>
      <c r="U38" t="s">
        <v>49</v>
      </c>
      <c r="V38" t="s">
        <v>49</v>
      </c>
      <c r="W38" t="s">
        <v>138</v>
      </c>
      <c r="X38" t="s">
        <v>50</v>
      </c>
      <c r="Y38" t="s">
        <v>63</v>
      </c>
      <c r="Z38" t="s">
        <v>139</v>
      </c>
      <c r="AB38" t="s">
        <v>529</v>
      </c>
      <c r="AC38" t="s">
        <v>439</v>
      </c>
      <c r="AD38" t="s">
        <v>426</v>
      </c>
      <c r="AE38" t="s">
        <v>427</v>
      </c>
      <c r="AF38" t="s">
        <v>428</v>
      </c>
      <c r="AG38" t="b">
        <v>0</v>
      </c>
      <c r="AH38" t="b">
        <v>1</v>
      </c>
      <c r="AI38">
        <v>14</v>
      </c>
      <c r="AJ38">
        <v>1</v>
      </c>
      <c r="AK38">
        <v>14</v>
      </c>
      <c r="AL38">
        <v>0</v>
      </c>
      <c r="AM38" t="s">
        <v>47</v>
      </c>
      <c r="AN38" t="s">
        <v>67</v>
      </c>
      <c r="AO38" s="1">
        <v>45832.601982673608</v>
      </c>
      <c r="AP38" t="s">
        <v>51</v>
      </c>
      <c r="AQ38" t="s">
        <v>421</v>
      </c>
      <c r="AR38" t="s">
        <v>52</v>
      </c>
    </row>
    <row r="39" spans="1:48" x14ac:dyDescent="0.55000000000000004">
      <c r="A39">
        <v>1</v>
      </c>
      <c r="B39">
        <v>495</v>
      </c>
      <c r="C39">
        <v>500</v>
      </c>
      <c r="D39" t="s">
        <v>45</v>
      </c>
      <c r="E39" t="s">
        <v>530</v>
      </c>
      <c r="F39" t="s">
        <v>46</v>
      </c>
      <c r="G39" t="b">
        <v>0</v>
      </c>
      <c r="H39" s="1">
        <f>BVW_BTItemLot[[#This Row],[CreatedDateTime]]-TIME(7,0,0)</f>
        <v>45832.304169178242</v>
      </c>
      <c r="I39" s="1">
        <v>45832.595835844906</v>
      </c>
      <c r="J39" t="s">
        <v>154</v>
      </c>
      <c r="K39" t="b">
        <f ca="1">IF(BVW_BTItemLot[[#This Row],[Age]] &gt; 5, TRUE, FALSE)</f>
        <v>0</v>
      </c>
      <c r="L39" s="2">
        <f ca="1">ROUND(NOW()-BVW_BTItemLot[[#This Row],[UpdatedDateTime]],2)</f>
        <v>0.76</v>
      </c>
      <c r="M39" s="1">
        <v>45832.596254050928</v>
      </c>
      <c r="N39" t="s">
        <v>154</v>
      </c>
      <c r="Q39" t="s">
        <v>123</v>
      </c>
      <c r="S39" t="s">
        <v>47</v>
      </c>
      <c r="T39" t="s">
        <v>48</v>
      </c>
      <c r="U39" t="s">
        <v>49</v>
      </c>
      <c r="V39" t="s">
        <v>49</v>
      </c>
      <c r="W39" t="s">
        <v>64</v>
      </c>
      <c r="X39" t="s">
        <v>50</v>
      </c>
      <c r="Y39" t="s">
        <v>65</v>
      </c>
      <c r="AB39" t="s">
        <v>531</v>
      </c>
      <c r="AC39" t="s">
        <v>532</v>
      </c>
      <c r="AD39" t="s">
        <v>533</v>
      </c>
      <c r="AE39" t="s">
        <v>534</v>
      </c>
      <c r="AF39" t="s">
        <v>535</v>
      </c>
      <c r="AG39" t="b">
        <v>0</v>
      </c>
      <c r="AH39" t="b">
        <v>1</v>
      </c>
      <c r="AI39">
        <v>495</v>
      </c>
      <c r="AJ39">
        <v>1</v>
      </c>
      <c r="AK39">
        <v>495</v>
      </c>
      <c r="AL39">
        <v>0</v>
      </c>
      <c r="AM39" t="s">
        <v>47</v>
      </c>
      <c r="AN39" t="s">
        <v>98</v>
      </c>
      <c r="AO39" s="1">
        <v>45832.595835844906</v>
      </c>
      <c r="AP39" t="s">
        <v>51</v>
      </c>
      <c r="AQ39" t="s">
        <v>45</v>
      </c>
      <c r="AR39" t="s">
        <v>52</v>
      </c>
      <c r="AT39" t="s">
        <v>53</v>
      </c>
      <c r="AU39" t="s">
        <v>54</v>
      </c>
      <c r="AV39" t="s">
        <v>176</v>
      </c>
    </row>
    <row r="40" spans="1:48" x14ac:dyDescent="0.55000000000000004">
      <c r="A40">
        <v>1</v>
      </c>
      <c r="B40">
        <v>1283</v>
      </c>
      <c r="C40">
        <v>185</v>
      </c>
      <c r="D40" t="s">
        <v>45</v>
      </c>
      <c r="E40" t="s">
        <v>536</v>
      </c>
      <c r="F40" t="s">
        <v>46</v>
      </c>
      <c r="G40" t="b">
        <v>0</v>
      </c>
      <c r="H40" s="1">
        <f>BVW_BTItemLot[[#This Row],[CreatedDateTime]]-TIME(7,0,0)</f>
        <v>45832.299161689814</v>
      </c>
      <c r="I40" s="1">
        <v>45832.590828356479</v>
      </c>
      <c r="J40" t="s">
        <v>248</v>
      </c>
      <c r="K40" t="b">
        <f ca="1">IF(BVW_BTItemLot[[#This Row],[Age]] &gt; 5, TRUE, FALSE)</f>
        <v>0</v>
      </c>
      <c r="L40" s="2">
        <f ca="1">ROUND(NOW()-BVW_BTItemLot[[#This Row],[UpdatedDateTime]],2)</f>
        <v>0.76</v>
      </c>
      <c r="M40" s="1">
        <v>45832.595142858794</v>
      </c>
      <c r="N40" t="s">
        <v>248</v>
      </c>
      <c r="O40" t="s">
        <v>149</v>
      </c>
      <c r="Q40" t="s">
        <v>537</v>
      </c>
      <c r="S40" t="s">
        <v>47</v>
      </c>
      <c r="T40" t="s">
        <v>48</v>
      </c>
      <c r="U40" t="s">
        <v>49</v>
      </c>
      <c r="V40" t="s">
        <v>49</v>
      </c>
      <c r="W40" t="s">
        <v>58</v>
      </c>
      <c r="X40" t="s">
        <v>50</v>
      </c>
      <c r="Y40" t="s">
        <v>59</v>
      </c>
      <c r="AB40" t="s">
        <v>538</v>
      </c>
      <c r="AC40" t="s">
        <v>435</v>
      </c>
      <c r="AD40" t="s">
        <v>108</v>
      </c>
      <c r="AE40" t="s">
        <v>109</v>
      </c>
      <c r="AF40" t="s">
        <v>110</v>
      </c>
      <c r="AG40" t="b">
        <v>0</v>
      </c>
      <c r="AH40" t="b">
        <v>1</v>
      </c>
      <c r="AI40">
        <v>1283</v>
      </c>
      <c r="AJ40">
        <v>1</v>
      </c>
      <c r="AK40">
        <v>1283</v>
      </c>
      <c r="AL40">
        <v>0</v>
      </c>
      <c r="AM40" t="s">
        <v>47</v>
      </c>
      <c r="AN40" t="s">
        <v>150</v>
      </c>
      <c r="AO40" s="1">
        <v>45832.590828356479</v>
      </c>
      <c r="AP40" t="s">
        <v>51</v>
      </c>
      <c r="AQ40" t="s">
        <v>45</v>
      </c>
      <c r="AR40" t="s">
        <v>52</v>
      </c>
      <c r="AS40" t="s">
        <v>79</v>
      </c>
      <c r="AU40" t="s">
        <v>54</v>
      </c>
    </row>
    <row r="41" spans="1:48" x14ac:dyDescent="0.55000000000000004">
      <c r="A41">
        <v>1</v>
      </c>
      <c r="B41">
        <v>1530</v>
      </c>
      <c r="C41">
        <v>185</v>
      </c>
      <c r="D41" t="s">
        <v>45</v>
      </c>
      <c r="E41" t="s">
        <v>539</v>
      </c>
      <c r="F41" t="s">
        <v>46</v>
      </c>
      <c r="G41" t="b">
        <v>0</v>
      </c>
      <c r="H41" s="1">
        <f>BVW_BTItemLot[[#This Row],[CreatedDateTime]]-TIME(7,0,0)</f>
        <v>45832.230665891206</v>
      </c>
      <c r="I41" s="1">
        <v>45832.52233255787</v>
      </c>
      <c r="J41" t="s">
        <v>193</v>
      </c>
      <c r="K41" t="b">
        <f ca="1">IF(BVW_BTItemLot[[#This Row],[Age]] &gt; 5, TRUE, FALSE)</f>
        <v>0</v>
      </c>
      <c r="L41" s="2">
        <f ca="1">ROUND(NOW()-BVW_BTItemLot[[#This Row],[UpdatedDateTime]],2)</f>
        <v>0.83</v>
      </c>
      <c r="M41" s="1">
        <v>45832.524615590279</v>
      </c>
      <c r="N41" t="s">
        <v>193</v>
      </c>
      <c r="Q41" t="s">
        <v>540</v>
      </c>
      <c r="S41" t="s">
        <v>47</v>
      </c>
      <c r="T41" t="s">
        <v>48</v>
      </c>
      <c r="U41" t="s">
        <v>49</v>
      </c>
      <c r="V41" t="s">
        <v>61</v>
      </c>
      <c r="W41" t="s">
        <v>78</v>
      </c>
      <c r="X41" t="s">
        <v>50</v>
      </c>
      <c r="Y41" t="s">
        <v>77</v>
      </c>
      <c r="Z41" t="s">
        <v>50</v>
      </c>
      <c r="AB41" t="s">
        <v>541</v>
      </c>
      <c r="AC41" t="s">
        <v>542</v>
      </c>
      <c r="AD41" t="s">
        <v>543</v>
      </c>
      <c r="AE41" t="s">
        <v>544</v>
      </c>
      <c r="AF41" t="s">
        <v>545</v>
      </c>
      <c r="AG41" t="b">
        <v>0</v>
      </c>
      <c r="AH41" t="b">
        <v>1</v>
      </c>
      <c r="AI41">
        <v>758</v>
      </c>
      <c r="AJ41">
        <v>1</v>
      </c>
      <c r="AK41">
        <v>758</v>
      </c>
      <c r="AL41">
        <v>0</v>
      </c>
      <c r="AM41" t="s">
        <v>47</v>
      </c>
      <c r="AN41" t="s">
        <v>67</v>
      </c>
      <c r="AO41" s="1">
        <v>45832.517541701389</v>
      </c>
      <c r="AP41" t="s">
        <v>51</v>
      </c>
      <c r="AQ41" t="s">
        <v>45</v>
      </c>
      <c r="AR41" t="s">
        <v>52</v>
      </c>
      <c r="AT41" t="s">
        <v>53</v>
      </c>
      <c r="AU41" t="s">
        <v>72</v>
      </c>
      <c r="AV41" t="s">
        <v>73</v>
      </c>
    </row>
    <row r="42" spans="1:48" x14ac:dyDescent="0.55000000000000004">
      <c r="A42">
        <v>1</v>
      </c>
      <c r="B42">
        <v>758</v>
      </c>
      <c r="C42">
        <v>185</v>
      </c>
      <c r="D42" t="s">
        <v>45</v>
      </c>
      <c r="E42" t="s">
        <v>546</v>
      </c>
      <c r="F42" t="s">
        <v>46</v>
      </c>
      <c r="G42" t="b">
        <v>0</v>
      </c>
      <c r="H42" s="1">
        <f>BVW_BTItemLot[[#This Row],[CreatedDateTime]]-TIME(7,0,0)</f>
        <v>45832.225875034725</v>
      </c>
      <c r="I42" s="1">
        <v>45832.517541701389</v>
      </c>
      <c r="J42" t="s">
        <v>193</v>
      </c>
      <c r="K42" t="b">
        <f ca="1">IF(BVW_BTItemLot[[#This Row],[Age]] &gt; 5, TRUE, FALSE)</f>
        <v>0</v>
      </c>
      <c r="L42" s="2">
        <f ca="1">ROUND(NOW()-BVW_BTItemLot[[#This Row],[UpdatedDateTime]],2)</f>
        <v>0.83</v>
      </c>
      <c r="M42" s="1">
        <v>45832.520455243059</v>
      </c>
      <c r="N42" t="s">
        <v>193</v>
      </c>
      <c r="Q42" t="s">
        <v>547</v>
      </c>
      <c r="S42" t="s">
        <v>47</v>
      </c>
      <c r="T42" t="s">
        <v>48</v>
      </c>
      <c r="U42" t="s">
        <v>49</v>
      </c>
      <c r="V42" t="s">
        <v>49</v>
      </c>
      <c r="W42" t="s">
        <v>58</v>
      </c>
      <c r="X42" t="s">
        <v>50</v>
      </c>
      <c r="Y42" t="s">
        <v>59</v>
      </c>
      <c r="AB42" t="s">
        <v>541</v>
      </c>
      <c r="AC42" t="s">
        <v>542</v>
      </c>
      <c r="AD42" t="s">
        <v>543</v>
      </c>
      <c r="AE42" t="s">
        <v>544</v>
      </c>
      <c r="AF42" t="s">
        <v>545</v>
      </c>
      <c r="AG42" t="b">
        <v>0</v>
      </c>
      <c r="AH42" t="b">
        <v>1</v>
      </c>
      <c r="AI42">
        <v>758</v>
      </c>
      <c r="AJ42">
        <v>1</v>
      </c>
      <c r="AK42">
        <v>758</v>
      </c>
      <c r="AL42">
        <v>0</v>
      </c>
      <c r="AM42" t="s">
        <v>47</v>
      </c>
      <c r="AN42" t="s">
        <v>67</v>
      </c>
      <c r="AO42" s="1">
        <v>45832.517541701389</v>
      </c>
      <c r="AP42" t="s">
        <v>51</v>
      </c>
      <c r="AQ42" t="s">
        <v>45</v>
      </c>
      <c r="AR42" t="s">
        <v>52</v>
      </c>
      <c r="AT42" t="s">
        <v>53</v>
      </c>
      <c r="AU42" t="s">
        <v>72</v>
      </c>
      <c r="AV42" t="s">
        <v>73</v>
      </c>
    </row>
    <row r="43" spans="1:48" x14ac:dyDescent="0.55000000000000004">
      <c r="A43">
        <v>1</v>
      </c>
      <c r="B43">
        <v>1673</v>
      </c>
      <c r="C43">
        <v>185</v>
      </c>
      <c r="D43" t="s">
        <v>45</v>
      </c>
      <c r="E43" t="s">
        <v>548</v>
      </c>
      <c r="F43" t="s">
        <v>46</v>
      </c>
      <c r="G43" t="b">
        <v>0</v>
      </c>
      <c r="H43" s="1">
        <f>BVW_BTItemLot[[#This Row],[CreatedDateTime]]-TIME(7,0,0)</f>
        <v>45832.110252465282</v>
      </c>
      <c r="I43" s="1">
        <v>45832.401919131946</v>
      </c>
      <c r="J43" t="s">
        <v>88</v>
      </c>
      <c r="K43" t="b">
        <f ca="1">IF(BVW_BTItemLot[[#This Row],[Age]] &gt; 5, TRUE, FALSE)</f>
        <v>0</v>
      </c>
      <c r="L43" s="2">
        <f ca="1">ROUND(NOW()-BVW_BTItemLot[[#This Row],[UpdatedDateTime]],2)</f>
        <v>0.95</v>
      </c>
      <c r="M43" s="1">
        <v>45832.402848379628</v>
      </c>
      <c r="N43" t="s">
        <v>88</v>
      </c>
      <c r="Q43" t="s">
        <v>549</v>
      </c>
      <c r="S43" t="s">
        <v>47</v>
      </c>
      <c r="T43" t="s">
        <v>48</v>
      </c>
      <c r="U43" t="s">
        <v>49</v>
      </c>
      <c r="V43" t="s">
        <v>61</v>
      </c>
      <c r="W43" t="s">
        <v>76</v>
      </c>
      <c r="X43" t="s">
        <v>50</v>
      </c>
      <c r="Y43" t="s">
        <v>77</v>
      </c>
      <c r="Z43" t="s">
        <v>57</v>
      </c>
      <c r="AB43" t="s">
        <v>550</v>
      </c>
      <c r="AC43" t="s">
        <v>425</v>
      </c>
      <c r="AD43" t="s">
        <v>183</v>
      </c>
      <c r="AE43" t="s">
        <v>184</v>
      </c>
      <c r="AF43" t="s">
        <v>185</v>
      </c>
      <c r="AG43" t="b">
        <v>0</v>
      </c>
      <c r="AH43" t="b">
        <v>1</v>
      </c>
      <c r="AI43">
        <v>1028</v>
      </c>
      <c r="AJ43">
        <v>1</v>
      </c>
      <c r="AK43">
        <v>1028</v>
      </c>
      <c r="AL43">
        <v>0</v>
      </c>
      <c r="AM43" t="s">
        <v>47</v>
      </c>
      <c r="AN43" t="s">
        <v>68</v>
      </c>
      <c r="AO43" s="1">
        <v>45832.397573495371</v>
      </c>
      <c r="AP43" t="s">
        <v>51</v>
      </c>
      <c r="AQ43" t="s">
        <v>45</v>
      </c>
      <c r="AR43" t="s">
        <v>52</v>
      </c>
      <c r="AT43" t="s">
        <v>66</v>
      </c>
      <c r="AU43" t="s">
        <v>54</v>
      </c>
      <c r="AV43" t="s">
        <v>56</v>
      </c>
    </row>
    <row r="44" spans="1:48" x14ac:dyDescent="0.55000000000000004">
      <c r="A44">
        <v>1</v>
      </c>
      <c r="B44">
        <v>699</v>
      </c>
      <c r="C44">
        <v>580</v>
      </c>
      <c r="D44" t="s">
        <v>45</v>
      </c>
      <c r="E44" t="s">
        <v>368</v>
      </c>
      <c r="F44" t="s">
        <v>46</v>
      </c>
      <c r="G44" t="b">
        <v>0</v>
      </c>
      <c r="H44" s="1">
        <f>BVW_BTItemLot[[#This Row],[CreatedDateTime]]-TIME(7,0,0)</f>
        <v>45831.977964814818</v>
      </c>
      <c r="I44" s="1">
        <v>45832.269631481482</v>
      </c>
      <c r="J44" t="s">
        <v>148</v>
      </c>
      <c r="K44" t="b">
        <f ca="1">IF(BVW_BTItemLot[[#This Row],[Age]] &gt; 5, TRUE, FALSE)</f>
        <v>0</v>
      </c>
      <c r="L44" s="2">
        <f ca="1">ROUND(NOW()-BVW_BTItemLot[[#This Row],[UpdatedDateTime]],2)</f>
        <v>1.08</v>
      </c>
      <c r="M44" s="1">
        <v>45832.270385451389</v>
      </c>
      <c r="N44" t="s">
        <v>148</v>
      </c>
      <c r="Q44" t="s">
        <v>369</v>
      </c>
      <c r="S44" t="s">
        <v>47</v>
      </c>
      <c r="T44" t="s">
        <v>48</v>
      </c>
      <c r="U44" t="s">
        <v>49</v>
      </c>
      <c r="V44" t="s">
        <v>49</v>
      </c>
      <c r="W44" t="s">
        <v>64</v>
      </c>
      <c r="X44" t="s">
        <v>50</v>
      </c>
      <c r="Y44" t="s">
        <v>65</v>
      </c>
      <c r="AB44" t="s">
        <v>370</v>
      </c>
      <c r="AC44" t="s">
        <v>367</v>
      </c>
      <c r="AD44" t="s">
        <v>118</v>
      </c>
      <c r="AE44" t="s">
        <v>119</v>
      </c>
      <c r="AF44" t="s">
        <v>120</v>
      </c>
      <c r="AG44" t="b">
        <v>0</v>
      </c>
      <c r="AH44" t="b">
        <v>1</v>
      </c>
      <c r="AI44">
        <v>699</v>
      </c>
      <c r="AJ44">
        <v>1</v>
      </c>
      <c r="AK44">
        <v>699</v>
      </c>
      <c r="AL44">
        <v>0</v>
      </c>
      <c r="AM44" t="s">
        <v>47</v>
      </c>
      <c r="AN44" t="s">
        <v>98</v>
      </c>
      <c r="AO44" s="1">
        <v>45832.269631481482</v>
      </c>
      <c r="AP44" t="s">
        <v>51</v>
      </c>
      <c r="AQ44" t="s">
        <v>45</v>
      </c>
      <c r="AR44" t="s">
        <v>52</v>
      </c>
      <c r="AS44" t="s">
        <v>55</v>
      </c>
      <c r="AU44" t="s">
        <v>107</v>
      </c>
      <c r="AV44" t="s">
        <v>107</v>
      </c>
    </row>
    <row r="45" spans="1:48" x14ac:dyDescent="0.55000000000000004">
      <c r="A45">
        <v>1</v>
      </c>
      <c r="B45">
        <v>697</v>
      </c>
      <c r="C45">
        <v>580</v>
      </c>
      <c r="D45" t="s">
        <v>45</v>
      </c>
      <c r="E45" t="s">
        <v>372</v>
      </c>
      <c r="F45" t="s">
        <v>46</v>
      </c>
      <c r="G45" t="b">
        <v>0</v>
      </c>
      <c r="H45" s="1">
        <f>BVW_BTItemLot[[#This Row],[CreatedDateTime]]-TIME(7,0,0)</f>
        <v>45831.942610798615</v>
      </c>
      <c r="I45" s="1">
        <v>45832.234277465279</v>
      </c>
      <c r="J45" t="s">
        <v>148</v>
      </c>
      <c r="K45" t="b">
        <f ca="1">IF(BVW_BTItemLot[[#This Row],[Age]] &gt; 5, TRUE, FALSE)</f>
        <v>0</v>
      </c>
      <c r="L45" s="2">
        <f ca="1">ROUND(NOW()-BVW_BTItemLot[[#This Row],[UpdatedDateTime]],2)</f>
        <v>1.08</v>
      </c>
      <c r="M45" s="1">
        <v>45832.271889004631</v>
      </c>
      <c r="N45" t="s">
        <v>148</v>
      </c>
      <c r="Q45" t="s">
        <v>373</v>
      </c>
      <c r="S45" t="s">
        <v>47</v>
      </c>
      <c r="T45" t="s">
        <v>48</v>
      </c>
      <c r="U45" t="s">
        <v>49</v>
      </c>
      <c r="V45" t="s">
        <v>49</v>
      </c>
      <c r="W45" t="s">
        <v>64</v>
      </c>
      <c r="X45" t="s">
        <v>50</v>
      </c>
      <c r="Y45" t="s">
        <v>65</v>
      </c>
      <c r="AB45" t="s">
        <v>374</v>
      </c>
      <c r="AC45" t="s">
        <v>367</v>
      </c>
      <c r="AD45" t="s">
        <v>118</v>
      </c>
      <c r="AE45" t="s">
        <v>119</v>
      </c>
      <c r="AF45" t="s">
        <v>120</v>
      </c>
      <c r="AG45" t="b">
        <v>0</v>
      </c>
      <c r="AH45" t="b">
        <v>1</v>
      </c>
      <c r="AI45">
        <v>697</v>
      </c>
      <c r="AJ45">
        <v>1</v>
      </c>
      <c r="AK45">
        <v>697</v>
      </c>
      <c r="AL45">
        <v>0</v>
      </c>
      <c r="AM45" t="s">
        <v>47</v>
      </c>
      <c r="AN45" t="s">
        <v>98</v>
      </c>
      <c r="AO45" s="1">
        <v>45832.234277465279</v>
      </c>
      <c r="AP45" t="s">
        <v>51</v>
      </c>
      <c r="AQ45" t="s">
        <v>45</v>
      </c>
      <c r="AR45" t="s">
        <v>52</v>
      </c>
      <c r="AS45" t="s">
        <v>55</v>
      </c>
      <c r="AU45" t="s">
        <v>107</v>
      </c>
      <c r="AV45" t="s">
        <v>107</v>
      </c>
    </row>
    <row r="46" spans="1:48" x14ac:dyDescent="0.55000000000000004">
      <c r="A46">
        <v>1</v>
      </c>
      <c r="B46">
        <v>1338</v>
      </c>
      <c r="C46">
        <v>185</v>
      </c>
      <c r="D46" t="s">
        <v>45</v>
      </c>
      <c r="E46" t="s">
        <v>378</v>
      </c>
      <c r="F46" t="s">
        <v>46</v>
      </c>
      <c r="G46" t="b">
        <v>0</v>
      </c>
      <c r="H46" s="1">
        <f>BVW_BTItemLot[[#This Row],[CreatedDateTime]]-TIME(7,0,0)</f>
        <v>45831.918551388888</v>
      </c>
      <c r="I46" s="1">
        <v>45832.210218055552</v>
      </c>
      <c r="J46" t="s">
        <v>103</v>
      </c>
      <c r="K46" t="b">
        <f ca="1">IF(BVW_BTItemLot[[#This Row],[Age]] &gt; 5, TRUE, FALSE)</f>
        <v>0</v>
      </c>
      <c r="L46" s="2">
        <f ca="1">ROUND(NOW()-BVW_BTItemLot[[#This Row],[UpdatedDateTime]],2)</f>
        <v>1.1399999999999999</v>
      </c>
      <c r="M46" s="1">
        <v>45832.21071284722</v>
      </c>
      <c r="N46" t="s">
        <v>103</v>
      </c>
      <c r="Q46" t="s">
        <v>121</v>
      </c>
      <c r="S46" t="s">
        <v>47</v>
      </c>
      <c r="T46" t="s">
        <v>48</v>
      </c>
      <c r="U46" t="s">
        <v>49</v>
      </c>
      <c r="V46" t="s">
        <v>61</v>
      </c>
      <c r="W46" t="s">
        <v>76</v>
      </c>
      <c r="X46" t="s">
        <v>50</v>
      </c>
      <c r="Y46" t="s">
        <v>77</v>
      </c>
      <c r="Z46" t="s">
        <v>57</v>
      </c>
      <c r="AB46" t="s">
        <v>379</v>
      </c>
      <c r="AC46" t="s">
        <v>377</v>
      </c>
      <c r="AD46" t="s">
        <v>172</v>
      </c>
      <c r="AE46" t="s">
        <v>173</v>
      </c>
      <c r="AF46" t="s">
        <v>174</v>
      </c>
      <c r="AG46" t="b">
        <v>0</v>
      </c>
      <c r="AH46" t="b">
        <v>1</v>
      </c>
      <c r="AI46">
        <v>1338</v>
      </c>
      <c r="AJ46">
        <v>1</v>
      </c>
      <c r="AK46">
        <v>1338</v>
      </c>
      <c r="AL46">
        <v>0</v>
      </c>
      <c r="AM46" t="s">
        <v>47</v>
      </c>
      <c r="AN46" t="s">
        <v>68</v>
      </c>
      <c r="AO46" s="1">
        <v>45832.210218055552</v>
      </c>
      <c r="AP46" t="s">
        <v>51</v>
      </c>
      <c r="AQ46" t="s">
        <v>45</v>
      </c>
      <c r="AR46" t="s">
        <v>52</v>
      </c>
      <c r="AT46" t="s">
        <v>66</v>
      </c>
      <c r="AU46" t="s">
        <v>54</v>
      </c>
      <c r="AV46" t="s">
        <v>164</v>
      </c>
    </row>
    <row r="47" spans="1:48" x14ac:dyDescent="0.55000000000000004">
      <c r="A47">
        <v>1</v>
      </c>
      <c r="B47">
        <v>1218</v>
      </c>
      <c r="C47">
        <v>185</v>
      </c>
      <c r="D47" t="s">
        <v>45</v>
      </c>
      <c r="E47" t="s">
        <v>380</v>
      </c>
      <c r="F47" t="s">
        <v>46</v>
      </c>
      <c r="G47" t="b">
        <v>0</v>
      </c>
      <c r="H47" s="1">
        <f>BVW_BTItemLot[[#This Row],[CreatedDateTime]]-TIME(7,0,0)</f>
        <v>45831.914039699077</v>
      </c>
      <c r="I47" s="1">
        <v>45832.205706365741</v>
      </c>
      <c r="J47" t="s">
        <v>103</v>
      </c>
      <c r="K47" t="b">
        <f ca="1">IF(BVW_BTItemLot[[#This Row],[Age]] &gt; 5, TRUE, FALSE)</f>
        <v>0</v>
      </c>
      <c r="L47" s="2">
        <f ca="1">ROUND(NOW()-BVW_BTItemLot[[#This Row],[UpdatedDateTime]],2)</f>
        <v>1.1499999999999999</v>
      </c>
      <c r="M47" s="1">
        <v>45832.20622728009</v>
      </c>
      <c r="N47" t="s">
        <v>103</v>
      </c>
      <c r="Q47" t="s">
        <v>322</v>
      </c>
      <c r="S47" t="s">
        <v>47</v>
      </c>
      <c r="T47" t="s">
        <v>48</v>
      </c>
      <c r="U47" t="s">
        <v>49</v>
      </c>
      <c r="V47" t="s">
        <v>61</v>
      </c>
      <c r="W47" t="s">
        <v>78</v>
      </c>
      <c r="X47" t="s">
        <v>50</v>
      </c>
      <c r="Y47" t="s">
        <v>77</v>
      </c>
      <c r="Z47" t="s">
        <v>50</v>
      </c>
      <c r="AB47" t="s">
        <v>381</v>
      </c>
      <c r="AC47" t="s">
        <v>377</v>
      </c>
      <c r="AD47" t="s">
        <v>124</v>
      </c>
      <c r="AE47" t="s">
        <v>125</v>
      </c>
      <c r="AF47" t="s">
        <v>126</v>
      </c>
      <c r="AG47" t="b">
        <v>0</v>
      </c>
      <c r="AH47" t="b">
        <v>1</v>
      </c>
      <c r="AI47">
        <v>1218</v>
      </c>
      <c r="AJ47">
        <v>1</v>
      </c>
      <c r="AK47">
        <v>1218</v>
      </c>
      <c r="AL47">
        <v>0</v>
      </c>
      <c r="AM47" t="s">
        <v>47</v>
      </c>
      <c r="AN47" t="s">
        <v>68</v>
      </c>
      <c r="AO47" s="1">
        <v>45832.205706365741</v>
      </c>
      <c r="AP47" t="s">
        <v>51</v>
      </c>
      <c r="AQ47" t="s">
        <v>45</v>
      </c>
      <c r="AR47" t="s">
        <v>52</v>
      </c>
      <c r="AS47" t="s">
        <v>79</v>
      </c>
      <c r="AU47" t="s">
        <v>54</v>
      </c>
    </row>
    <row r="48" spans="1:48" x14ac:dyDescent="0.55000000000000004">
      <c r="A48">
        <v>1</v>
      </c>
      <c r="B48">
        <v>1252</v>
      </c>
      <c r="C48">
        <v>185</v>
      </c>
      <c r="D48" t="s">
        <v>45</v>
      </c>
      <c r="E48" t="s">
        <v>382</v>
      </c>
      <c r="F48" t="s">
        <v>46</v>
      </c>
      <c r="G48" t="b">
        <v>0</v>
      </c>
      <c r="H48" s="1">
        <f>BVW_BTItemLot[[#This Row],[CreatedDateTime]]-TIME(7,0,0)</f>
        <v>45831.843817824076</v>
      </c>
      <c r="I48" s="1">
        <v>45832.13548449074</v>
      </c>
      <c r="J48" t="s">
        <v>103</v>
      </c>
      <c r="K48" t="b">
        <f ca="1">IF(BVW_BTItemLot[[#This Row],[Age]] &gt; 5, TRUE, FALSE)</f>
        <v>0</v>
      </c>
      <c r="L48" s="2">
        <f ca="1">ROUND(NOW()-BVW_BTItemLot[[#This Row],[UpdatedDateTime]],2)</f>
        <v>1.22</v>
      </c>
      <c r="M48" s="1">
        <v>45832.136006400462</v>
      </c>
      <c r="N48" t="s">
        <v>103</v>
      </c>
      <c r="Q48" t="s">
        <v>168</v>
      </c>
      <c r="S48" t="s">
        <v>47</v>
      </c>
      <c r="T48" t="s">
        <v>48</v>
      </c>
      <c r="U48" t="s">
        <v>49</v>
      </c>
      <c r="V48" t="s">
        <v>61</v>
      </c>
      <c r="W48" t="s">
        <v>78</v>
      </c>
      <c r="X48" t="s">
        <v>50</v>
      </c>
      <c r="Y48" t="s">
        <v>77</v>
      </c>
      <c r="Z48" t="s">
        <v>50</v>
      </c>
      <c r="AB48" t="s">
        <v>383</v>
      </c>
      <c r="AC48" t="s">
        <v>377</v>
      </c>
      <c r="AD48" t="s">
        <v>108</v>
      </c>
      <c r="AE48" t="s">
        <v>109</v>
      </c>
      <c r="AF48" t="s">
        <v>110</v>
      </c>
      <c r="AG48" t="b">
        <v>0</v>
      </c>
      <c r="AH48" t="b">
        <v>1</v>
      </c>
      <c r="AI48">
        <v>1298</v>
      </c>
      <c r="AJ48">
        <v>1</v>
      </c>
      <c r="AK48">
        <v>1298</v>
      </c>
      <c r="AL48">
        <v>0</v>
      </c>
      <c r="AM48" t="s">
        <v>47</v>
      </c>
      <c r="AN48" t="s">
        <v>68</v>
      </c>
      <c r="AO48" s="1">
        <v>45832.030522337962</v>
      </c>
      <c r="AP48" t="s">
        <v>51</v>
      </c>
      <c r="AQ48" t="s">
        <v>45</v>
      </c>
      <c r="AR48" t="s">
        <v>52</v>
      </c>
      <c r="AS48" t="s">
        <v>79</v>
      </c>
      <c r="AU48" t="s">
        <v>54</v>
      </c>
    </row>
    <row r="49" spans="1:48" x14ac:dyDescent="0.55000000000000004">
      <c r="A49">
        <v>1</v>
      </c>
      <c r="B49">
        <v>1298</v>
      </c>
      <c r="C49">
        <v>185</v>
      </c>
      <c r="D49" t="s">
        <v>45</v>
      </c>
      <c r="E49" t="s">
        <v>385</v>
      </c>
      <c r="F49" t="s">
        <v>46</v>
      </c>
      <c r="G49" t="b">
        <v>0</v>
      </c>
      <c r="H49" s="1">
        <f>BVW_BTItemLot[[#This Row],[CreatedDateTime]]-TIME(7,0,0)</f>
        <v>45831.738855671298</v>
      </c>
      <c r="I49" s="1">
        <v>45832.030522337962</v>
      </c>
      <c r="J49" t="s">
        <v>103</v>
      </c>
      <c r="K49" t="b">
        <f ca="1">IF(BVW_BTItemLot[[#This Row],[Age]] &gt; 5, TRUE, FALSE)</f>
        <v>0</v>
      </c>
      <c r="L49" s="2">
        <f ca="1">ROUND(NOW()-BVW_BTItemLot[[#This Row],[UpdatedDateTime]],2)</f>
        <v>1.32</v>
      </c>
      <c r="M49" s="1">
        <v>45832.030913310184</v>
      </c>
      <c r="N49" t="s">
        <v>103</v>
      </c>
      <c r="Q49" t="s">
        <v>300</v>
      </c>
      <c r="S49" t="s">
        <v>47</v>
      </c>
      <c r="T49" t="s">
        <v>48</v>
      </c>
      <c r="U49" t="s">
        <v>49</v>
      </c>
      <c r="V49" t="s">
        <v>61</v>
      </c>
      <c r="W49" t="s">
        <v>78</v>
      </c>
      <c r="X49" t="s">
        <v>50</v>
      </c>
      <c r="Y49" t="s">
        <v>77</v>
      </c>
      <c r="Z49" t="s">
        <v>50</v>
      </c>
      <c r="AB49" t="s">
        <v>383</v>
      </c>
      <c r="AC49" t="s">
        <v>377</v>
      </c>
      <c r="AD49" t="s">
        <v>108</v>
      </c>
      <c r="AE49" t="s">
        <v>109</v>
      </c>
      <c r="AF49" t="s">
        <v>110</v>
      </c>
      <c r="AG49" t="b">
        <v>0</v>
      </c>
      <c r="AH49" t="b">
        <v>1</v>
      </c>
      <c r="AI49">
        <v>1298</v>
      </c>
      <c r="AJ49">
        <v>1</v>
      </c>
      <c r="AK49">
        <v>1298</v>
      </c>
      <c r="AL49">
        <v>0</v>
      </c>
      <c r="AM49" t="s">
        <v>47</v>
      </c>
      <c r="AN49" t="s">
        <v>68</v>
      </c>
      <c r="AO49" s="1">
        <v>45832.030522337962</v>
      </c>
      <c r="AP49" t="s">
        <v>51</v>
      </c>
      <c r="AQ49" t="s">
        <v>45</v>
      </c>
      <c r="AR49" t="s">
        <v>52</v>
      </c>
      <c r="AS49" t="s">
        <v>79</v>
      </c>
      <c r="AU49" t="s">
        <v>54</v>
      </c>
    </row>
    <row r="50" spans="1:48" x14ac:dyDescent="0.55000000000000004">
      <c r="A50">
        <v>1</v>
      </c>
      <c r="B50">
        <v>1450</v>
      </c>
      <c r="C50">
        <v>185</v>
      </c>
      <c r="D50" t="s">
        <v>45</v>
      </c>
      <c r="E50" t="s">
        <v>386</v>
      </c>
      <c r="F50" t="s">
        <v>46</v>
      </c>
      <c r="G50" t="b">
        <v>0</v>
      </c>
      <c r="H50" s="1">
        <f>BVW_BTItemLot[[#This Row],[CreatedDateTime]]-TIME(7,0,0)</f>
        <v>45831.719684641204</v>
      </c>
      <c r="I50" s="1">
        <v>45832.011351307869</v>
      </c>
      <c r="J50" t="s">
        <v>326</v>
      </c>
      <c r="K50" t="b">
        <f ca="1">IF(BVW_BTItemLot[[#This Row],[Age]] &gt; 5, TRUE, FALSE)</f>
        <v>0</v>
      </c>
      <c r="L50" s="2">
        <f ca="1">ROUND(NOW()-BVW_BTItemLot[[#This Row],[UpdatedDateTime]],2)</f>
        <v>1.34</v>
      </c>
      <c r="M50" s="1">
        <v>45832.011823148147</v>
      </c>
      <c r="N50" t="s">
        <v>326</v>
      </c>
      <c r="O50" t="s">
        <v>149</v>
      </c>
      <c r="Q50" t="s">
        <v>387</v>
      </c>
      <c r="S50" t="s">
        <v>47</v>
      </c>
      <c r="T50" t="s">
        <v>48</v>
      </c>
      <c r="U50" t="s">
        <v>49</v>
      </c>
      <c r="V50" t="s">
        <v>61</v>
      </c>
      <c r="W50" t="s">
        <v>76</v>
      </c>
      <c r="X50" t="s">
        <v>50</v>
      </c>
      <c r="Y50" t="s">
        <v>77</v>
      </c>
      <c r="Z50" t="s">
        <v>57</v>
      </c>
      <c r="AB50" t="s">
        <v>371</v>
      </c>
      <c r="AC50" t="s">
        <v>317</v>
      </c>
      <c r="AD50" t="s">
        <v>161</v>
      </c>
      <c r="AE50" t="s">
        <v>162</v>
      </c>
      <c r="AF50" t="s">
        <v>163</v>
      </c>
      <c r="AG50" t="b">
        <v>0</v>
      </c>
      <c r="AH50" t="b">
        <v>1</v>
      </c>
      <c r="AI50">
        <v>1450</v>
      </c>
      <c r="AJ50">
        <v>1</v>
      </c>
      <c r="AK50">
        <v>1450</v>
      </c>
      <c r="AL50">
        <v>0</v>
      </c>
      <c r="AM50" t="s">
        <v>47</v>
      </c>
      <c r="AN50" t="s">
        <v>150</v>
      </c>
      <c r="AO50" s="1">
        <v>45832.011351307869</v>
      </c>
      <c r="AP50" t="s">
        <v>51</v>
      </c>
      <c r="AQ50" t="s">
        <v>45</v>
      </c>
      <c r="AR50" t="s">
        <v>52</v>
      </c>
      <c r="AT50" t="s">
        <v>66</v>
      </c>
      <c r="AU50" t="s">
        <v>54</v>
      </c>
      <c r="AV50" t="s">
        <v>164</v>
      </c>
    </row>
    <row r="51" spans="1:48" x14ac:dyDescent="0.55000000000000004">
      <c r="A51">
        <v>1</v>
      </c>
      <c r="B51">
        <v>668</v>
      </c>
      <c r="C51">
        <v>500</v>
      </c>
      <c r="D51" t="s">
        <v>45</v>
      </c>
      <c r="E51" t="s">
        <v>388</v>
      </c>
      <c r="F51" t="s">
        <v>46</v>
      </c>
      <c r="G51" t="b">
        <v>0</v>
      </c>
      <c r="H51" s="1">
        <f>BVW_BTItemLot[[#This Row],[CreatedDateTime]]-TIME(7,0,0)</f>
        <v>45831.700363692129</v>
      </c>
      <c r="I51" s="1">
        <v>45831.992030358793</v>
      </c>
      <c r="J51" t="s">
        <v>103</v>
      </c>
      <c r="K51" t="b">
        <f ca="1">IF(BVW_BTItemLot[[#This Row],[Age]] &gt; 5, TRUE, FALSE)</f>
        <v>0</v>
      </c>
      <c r="L51" s="2">
        <f ca="1">ROUND(NOW()-BVW_BTItemLot[[#This Row],[UpdatedDateTime]],2)</f>
        <v>1.36</v>
      </c>
      <c r="M51" s="1">
        <v>45831.992440011571</v>
      </c>
      <c r="N51" t="s">
        <v>103</v>
      </c>
      <c r="Q51" t="s">
        <v>389</v>
      </c>
      <c r="S51" t="s">
        <v>47</v>
      </c>
      <c r="T51" t="s">
        <v>48</v>
      </c>
      <c r="U51" t="s">
        <v>49</v>
      </c>
      <c r="V51" t="s">
        <v>49</v>
      </c>
      <c r="W51" t="s">
        <v>64</v>
      </c>
      <c r="X51" t="s">
        <v>50</v>
      </c>
      <c r="Y51" t="s">
        <v>65</v>
      </c>
      <c r="AB51" t="s">
        <v>376</v>
      </c>
      <c r="AC51" t="s">
        <v>377</v>
      </c>
      <c r="AD51" t="s">
        <v>104</v>
      </c>
      <c r="AE51" t="s">
        <v>105</v>
      </c>
      <c r="AF51" t="s">
        <v>106</v>
      </c>
      <c r="AG51" t="b">
        <v>0</v>
      </c>
      <c r="AH51" t="b">
        <v>1</v>
      </c>
      <c r="AI51">
        <v>668</v>
      </c>
      <c r="AJ51">
        <v>1</v>
      </c>
      <c r="AK51">
        <v>668</v>
      </c>
      <c r="AL51">
        <v>0</v>
      </c>
      <c r="AM51" t="s">
        <v>47</v>
      </c>
      <c r="AN51" t="s">
        <v>68</v>
      </c>
      <c r="AO51" s="1">
        <v>45831.992030358793</v>
      </c>
      <c r="AP51" t="s">
        <v>51</v>
      </c>
      <c r="AQ51" t="s">
        <v>45</v>
      </c>
      <c r="AR51" t="s">
        <v>52</v>
      </c>
      <c r="AU51" t="s">
        <v>75</v>
      </c>
    </row>
    <row r="52" spans="1:48" x14ac:dyDescent="0.55000000000000004">
      <c r="A52">
        <v>1</v>
      </c>
      <c r="B52">
        <v>1211</v>
      </c>
      <c r="C52">
        <v>185</v>
      </c>
      <c r="D52" t="s">
        <v>45</v>
      </c>
      <c r="E52" t="s">
        <v>390</v>
      </c>
      <c r="F52" t="s">
        <v>46</v>
      </c>
      <c r="G52" t="b">
        <v>0</v>
      </c>
      <c r="H52" s="1">
        <f>BVW_BTItemLot[[#This Row],[CreatedDateTime]]-TIME(7,0,0)</f>
        <v>45831.651437847227</v>
      </c>
      <c r="I52" s="1">
        <v>45831.943104513892</v>
      </c>
      <c r="J52" t="s">
        <v>86</v>
      </c>
      <c r="K52" t="b">
        <f ca="1">IF(BVW_BTItemLot[[#This Row],[Age]] &gt; 5, TRUE, FALSE)</f>
        <v>0</v>
      </c>
      <c r="L52" s="2">
        <f ca="1">ROUND(NOW()-BVW_BTItemLot[[#This Row],[UpdatedDateTime]],2)</f>
        <v>1.41</v>
      </c>
      <c r="M52" s="1">
        <v>45831.94310462963</v>
      </c>
      <c r="N52" t="s">
        <v>86</v>
      </c>
      <c r="Q52" t="s">
        <v>384</v>
      </c>
      <c r="S52" t="s">
        <v>47</v>
      </c>
      <c r="T52" t="s">
        <v>48</v>
      </c>
      <c r="U52" t="s">
        <v>49</v>
      </c>
      <c r="V52" t="s">
        <v>61</v>
      </c>
      <c r="W52" t="s">
        <v>76</v>
      </c>
      <c r="X52" t="s">
        <v>50</v>
      </c>
      <c r="Y52" t="s">
        <v>77</v>
      </c>
      <c r="Z52" t="s">
        <v>57</v>
      </c>
      <c r="AB52" t="s">
        <v>391</v>
      </c>
      <c r="AC52" t="s">
        <v>392</v>
      </c>
      <c r="AD52" t="s">
        <v>169</v>
      </c>
      <c r="AE52" t="s">
        <v>170</v>
      </c>
      <c r="AF52" t="s">
        <v>171</v>
      </c>
      <c r="AG52" t="b">
        <v>0</v>
      </c>
      <c r="AH52" t="b">
        <v>1</v>
      </c>
      <c r="AI52">
        <v>1211</v>
      </c>
      <c r="AJ52">
        <v>1</v>
      </c>
      <c r="AK52">
        <v>1211</v>
      </c>
      <c r="AL52">
        <v>0</v>
      </c>
      <c r="AM52" t="s">
        <v>47</v>
      </c>
      <c r="AN52" t="s">
        <v>112</v>
      </c>
      <c r="AO52" s="1">
        <v>45831.943104513892</v>
      </c>
      <c r="AP52" t="s">
        <v>51</v>
      </c>
      <c r="AQ52" t="s">
        <v>45</v>
      </c>
      <c r="AR52" t="s">
        <v>52</v>
      </c>
      <c r="AT52" t="s">
        <v>66</v>
      </c>
      <c r="AU52" t="s">
        <v>54</v>
      </c>
      <c r="AV52" t="s">
        <v>160</v>
      </c>
    </row>
    <row r="53" spans="1:48" x14ac:dyDescent="0.55000000000000004">
      <c r="A53">
        <v>1</v>
      </c>
      <c r="B53">
        <v>820</v>
      </c>
      <c r="C53">
        <v>500</v>
      </c>
      <c r="D53" t="s">
        <v>45</v>
      </c>
      <c r="E53" t="s">
        <v>393</v>
      </c>
      <c r="F53" t="s">
        <v>46</v>
      </c>
      <c r="G53" t="b">
        <v>0</v>
      </c>
      <c r="H53" s="1">
        <f>BVW_BTItemLot[[#This Row],[CreatedDateTime]]-TIME(7,0,0)</f>
        <v>45831.617314085648</v>
      </c>
      <c r="I53" s="1">
        <v>45831.908980752312</v>
      </c>
      <c r="J53" t="s">
        <v>255</v>
      </c>
      <c r="K53" t="b">
        <f ca="1">IF(BVW_BTItemLot[[#This Row],[Age]] &gt; 5, TRUE, FALSE)</f>
        <v>0</v>
      </c>
      <c r="L53" s="2">
        <f ca="1">ROUND(NOW()-BVW_BTItemLot[[#This Row],[UpdatedDateTime]],2)</f>
        <v>1.44</v>
      </c>
      <c r="M53" s="1">
        <v>45831.909500000002</v>
      </c>
      <c r="N53" t="s">
        <v>255</v>
      </c>
      <c r="Q53" t="s">
        <v>394</v>
      </c>
      <c r="S53" t="s">
        <v>47</v>
      </c>
      <c r="T53" t="s">
        <v>48</v>
      </c>
      <c r="U53" t="s">
        <v>49</v>
      </c>
      <c r="V53" t="s">
        <v>49</v>
      </c>
      <c r="W53" t="s">
        <v>58</v>
      </c>
      <c r="X53" t="s">
        <v>50</v>
      </c>
      <c r="Y53" t="s">
        <v>59</v>
      </c>
      <c r="AB53" t="s">
        <v>395</v>
      </c>
      <c r="AC53" t="s">
        <v>367</v>
      </c>
      <c r="AD53" t="s">
        <v>127</v>
      </c>
      <c r="AE53" t="s">
        <v>128</v>
      </c>
      <c r="AF53" t="s">
        <v>129</v>
      </c>
      <c r="AG53" t="b">
        <v>0</v>
      </c>
      <c r="AH53" t="b">
        <v>1</v>
      </c>
      <c r="AI53">
        <v>800</v>
      </c>
      <c r="AJ53">
        <v>1</v>
      </c>
      <c r="AK53">
        <v>800</v>
      </c>
      <c r="AL53">
        <v>0</v>
      </c>
      <c r="AM53" t="s">
        <v>47</v>
      </c>
      <c r="AN53" t="s">
        <v>98</v>
      </c>
      <c r="AO53" s="1">
        <v>45831.800422337961</v>
      </c>
      <c r="AP53" t="s">
        <v>51</v>
      </c>
      <c r="AQ53" t="s">
        <v>45</v>
      </c>
      <c r="AR53" t="s">
        <v>52</v>
      </c>
      <c r="AT53" t="s">
        <v>53</v>
      </c>
      <c r="AU53" t="s">
        <v>54</v>
      </c>
      <c r="AV53" t="s">
        <v>74</v>
      </c>
    </row>
    <row r="54" spans="1:48" x14ac:dyDescent="0.55000000000000004">
      <c r="A54">
        <v>1</v>
      </c>
      <c r="B54">
        <v>1474</v>
      </c>
      <c r="C54">
        <v>185</v>
      </c>
      <c r="D54" t="s">
        <v>45</v>
      </c>
      <c r="E54" t="s">
        <v>397</v>
      </c>
      <c r="F54" t="s">
        <v>46</v>
      </c>
      <c r="G54" t="b">
        <v>0</v>
      </c>
      <c r="H54" s="1">
        <f>BVW_BTItemLot[[#This Row],[CreatedDateTime]]-TIME(7,0,0)</f>
        <v>45831.59333113426</v>
      </c>
      <c r="I54" s="1">
        <v>45831.884997800924</v>
      </c>
      <c r="J54" t="s">
        <v>114</v>
      </c>
      <c r="K54" t="b">
        <f ca="1">IF(BVW_BTItemLot[[#This Row],[Age]] &gt; 5, TRUE, FALSE)</f>
        <v>0</v>
      </c>
      <c r="L54" s="2">
        <f ca="1">ROUND(NOW()-BVW_BTItemLot[[#This Row],[UpdatedDateTime]],2)</f>
        <v>1.47</v>
      </c>
      <c r="M54" s="1">
        <v>45831.885466087966</v>
      </c>
      <c r="N54" t="s">
        <v>114</v>
      </c>
      <c r="Q54" t="s">
        <v>299</v>
      </c>
      <c r="S54" t="s">
        <v>47</v>
      </c>
      <c r="T54" t="s">
        <v>48</v>
      </c>
      <c r="U54" t="s">
        <v>49</v>
      </c>
      <c r="V54" t="s">
        <v>61</v>
      </c>
      <c r="W54" t="s">
        <v>76</v>
      </c>
      <c r="X54" t="s">
        <v>50</v>
      </c>
      <c r="Y54" t="s">
        <v>77</v>
      </c>
      <c r="Z54" t="s">
        <v>57</v>
      </c>
      <c r="AB54" t="s">
        <v>398</v>
      </c>
      <c r="AC54" t="s">
        <v>377</v>
      </c>
      <c r="AD54" t="s">
        <v>83</v>
      </c>
      <c r="AE54" t="s">
        <v>84</v>
      </c>
      <c r="AF54" t="s">
        <v>85</v>
      </c>
      <c r="AG54" t="b">
        <v>0</v>
      </c>
      <c r="AH54" t="b">
        <v>1</v>
      </c>
      <c r="AI54">
        <v>1474</v>
      </c>
      <c r="AJ54">
        <v>1</v>
      </c>
      <c r="AK54">
        <v>1474</v>
      </c>
      <c r="AL54">
        <v>0</v>
      </c>
      <c r="AM54" t="s">
        <v>47</v>
      </c>
      <c r="AN54" t="s">
        <v>68</v>
      </c>
      <c r="AO54" s="1">
        <v>45831.884997800924</v>
      </c>
      <c r="AP54" t="s">
        <v>51</v>
      </c>
      <c r="AQ54" t="s">
        <v>45</v>
      </c>
      <c r="AR54" t="s">
        <v>52</v>
      </c>
      <c r="AT54" t="s">
        <v>53</v>
      </c>
      <c r="AU54" t="s">
        <v>72</v>
      </c>
      <c r="AV54" t="s">
        <v>73</v>
      </c>
    </row>
    <row r="55" spans="1:48" x14ac:dyDescent="0.55000000000000004">
      <c r="A55">
        <v>1</v>
      </c>
      <c r="B55">
        <v>820</v>
      </c>
      <c r="C55">
        <v>500</v>
      </c>
      <c r="D55" t="s">
        <v>45</v>
      </c>
      <c r="E55" t="s">
        <v>399</v>
      </c>
      <c r="F55" t="s">
        <v>46</v>
      </c>
      <c r="G55" t="b">
        <v>0</v>
      </c>
      <c r="H55" s="1">
        <f>BVW_BTItemLot[[#This Row],[CreatedDateTime]]-TIME(7,0,0)</f>
        <v>45831.570144942132</v>
      </c>
      <c r="I55" s="1">
        <v>45831.861811608796</v>
      </c>
      <c r="J55" t="s">
        <v>86</v>
      </c>
      <c r="K55" t="b">
        <f ca="1">IF(BVW_BTItemLot[[#This Row],[Age]] &gt; 5, TRUE, FALSE)</f>
        <v>0</v>
      </c>
      <c r="L55" s="2">
        <f ca="1">ROUND(NOW()-BVW_BTItemLot[[#This Row],[UpdatedDateTime]],2)</f>
        <v>1.49</v>
      </c>
      <c r="M55" s="1">
        <v>45831.862060613428</v>
      </c>
      <c r="N55" t="s">
        <v>86</v>
      </c>
      <c r="Q55" t="s">
        <v>400</v>
      </c>
      <c r="S55" t="s">
        <v>47</v>
      </c>
      <c r="T55" t="s">
        <v>48</v>
      </c>
      <c r="U55" t="s">
        <v>49</v>
      </c>
      <c r="V55" t="s">
        <v>49</v>
      </c>
      <c r="W55" t="s">
        <v>58</v>
      </c>
      <c r="X55" t="s">
        <v>50</v>
      </c>
      <c r="Y55" t="s">
        <v>59</v>
      </c>
      <c r="AB55" t="s">
        <v>401</v>
      </c>
      <c r="AC55" t="s">
        <v>375</v>
      </c>
      <c r="AD55" t="s">
        <v>183</v>
      </c>
      <c r="AE55" t="s">
        <v>184</v>
      </c>
      <c r="AF55" t="s">
        <v>185</v>
      </c>
      <c r="AG55" t="b">
        <v>0</v>
      </c>
      <c r="AH55" t="b">
        <v>1</v>
      </c>
      <c r="AI55">
        <v>1071</v>
      </c>
      <c r="AJ55">
        <v>1</v>
      </c>
      <c r="AK55">
        <v>1071</v>
      </c>
      <c r="AL55">
        <v>0</v>
      </c>
      <c r="AM55" t="s">
        <v>47</v>
      </c>
      <c r="AN55" t="s">
        <v>60</v>
      </c>
      <c r="AO55" s="1">
        <v>45831.858854745369</v>
      </c>
      <c r="AP55" t="s">
        <v>51</v>
      </c>
      <c r="AQ55" t="s">
        <v>45</v>
      </c>
      <c r="AR55" t="s">
        <v>52</v>
      </c>
      <c r="AT55" t="s">
        <v>66</v>
      </c>
      <c r="AU55" t="s">
        <v>54</v>
      </c>
      <c r="AV55" t="s">
        <v>56</v>
      </c>
    </row>
    <row r="56" spans="1:48" x14ac:dyDescent="0.55000000000000004">
      <c r="A56">
        <v>1</v>
      </c>
      <c r="B56">
        <v>1381</v>
      </c>
      <c r="C56">
        <v>185</v>
      </c>
      <c r="D56" t="s">
        <v>45</v>
      </c>
      <c r="E56" t="s">
        <v>402</v>
      </c>
      <c r="F56" t="s">
        <v>46</v>
      </c>
      <c r="G56" t="b">
        <v>0</v>
      </c>
      <c r="H56" s="1">
        <f>BVW_BTItemLot[[#This Row],[CreatedDateTime]]-TIME(7,0,0)</f>
        <v>45831.542448645836</v>
      </c>
      <c r="I56" s="1">
        <v>45831.8341153125</v>
      </c>
      <c r="J56" t="s">
        <v>114</v>
      </c>
      <c r="K56" t="b">
        <f ca="1">IF(BVW_BTItemLot[[#This Row],[Age]] &gt; 5, TRUE, FALSE)</f>
        <v>0</v>
      </c>
      <c r="L56" s="2">
        <f ca="1">ROUND(NOW()-BVW_BTItemLot[[#This Row],[UpdatedDateTime]],2)</f>
        <v>1.52</v>
      </c>
      <c r="M56" s="1">
        <v>45831.834378437503</v>
      </c>
      <c r="N56" t="s">
        <v>114</v>
      </c>
      <c r="Q56" t="s">
        <v>319</v>
      </c>
      <c r="S56" t="s">
        <v>47</v>
      </c>
      <c r="T56" t="s">
        <v>48</v>
      </c>
      <c r="U56" t="s">
        <v>49</v>
      </c>
      <c r="V56" t="s">
        <v>61</v>
      </c>
      <c r="W56" t="s">
        <v>78</v>
      </c>
      <c r="X56" t="s">
        <v>50</v>
      </c>
      <c r="Y56" t="s">
        <v>77</v>
      </c>
      <c r="Z56" t="s">
        <v>50</v>
      </c>
      <c r="AB56" t="s">
        <v>403</v>
      </c>
      <c r="AC56" t="s">
        <v>377</v>
      </c>
      <c r="AD56" t="s">
        <v>80</v>
      </c>
      <c r="AE56" t="s">
        <v>81</v>
      </c>
      <c r="AF56" t="s">
        <v>82</v>
      </c>
      <c r="AG56" t="b">
        <v>0</v>
      </c>
      <c r="AH56" t="b">
        <v>1</v>
      </c>
      <c r="AI56">
        <v>1300</v>
      </c>
      <c r="AJ56">
        <v>1</v>
      </c>
      <c r="AK56">
        <v>1300</v>
      </c>
      <c r="AL56">
        <v>0</v>
      </c>
      <c r="AM56" t="s">
        <v>47</v>
      </c>
      <c r="AN56" t="s">
        <v>68</v>
      </c>
      <c r="AO56" s="1">
        <v>45831.729843483794</v>
      </c>
      <c r="AP56" t="s">
        <v>51</v>
      </c>
      <c r="AQ56" t="s">
        <v>45</v>
      </c>
      <c r="AR56" t="s">
        <v>52</v>
      </c>
      <c r="AU56" t="s">
        <v>72</v>
      </c>
      <c r="AV56" t="s">
        <v>73</v>
      </c>
    </row>
    <row r="57" spans="1:48" x14ac:dyDescent="0.55000000000000004">
      <c r="A57">
        <v>1</v>
      </c>
      <c r="B57">
        <v>921</v>
      </c>
      <c r="C57">
        <v>580</v>
      </c>
      <c r="D57" t="s">
        <v>45</v>
      </c>
      <c r="E57" t="s">
        <v>404</v>
      </c>
      <c r="F57" t="s">
        <v>46</v>
      </c>
      <c r="G57" t="b">
        <v>0</v>
      </c>
      <c r="H57" s="1">
        <f>BVW_BTItemLot[[#This Row],[CreatedDateTime]]-TIME(7,0,0)</f>
        <v>45831.491581400463</v>
      </c>
      <c r="I57" s="1">
        <v>45831.783248067128</v>
      </c>
      <c r="J57" t="s">
        <v>255</v>
      </c>
      <c r="K57" t="b">
        <f ca="1">IF(BVW_BTItemLot[[#This Row],[Age]] &gt; 5, TRUE, FALSE)</f>
        <v>0</v>
      </c>
      <c r="L57" s="2">
        <f ca="1">ROUND(NOW()-BVW_BTItemLot[[#This Row],[UpdatedDateTime]],2)</f>
        <v>1.57</v>
      </c>
      <c r="M57" s="1">
        <v>45831.783820682867</v>
      </c>
      <c r="N57" t="s">
        <v>255</v>
      </c>
      <c r="Q57" t="s">
        <v>206</v>
      </c>
      <c r="S57" t="s">
        <v>47</v>
      </c>
      <c r="T57" t="s">
        <v>48</v>
      </c>
      <c r="U57" t="s">
        <v>49</v>
      </c>
      <c r="V57" t="s">
        <v>49</v>
      </c>
      <c r="W57" t="s">
        <v>58</v>
      </c>
      <c r="X57" t="s">
        <v>50</v>
      </c>
      <c r="Y57" t="s">
        <v>59</v>
      </c>
      <c r="AB57" t="s">
        <v>405</v>
      </c>
      <c r="AC57" t="s">
        <v>367</v>
      </c>
      <c r="AD57" t="s">
        <v>406</v>
      </c>
      <c r="AE57" t="s">
        <v>407</v>
      </c>
      <c r="AF57" t="s">
        <v>408</v>
      </c>
      <c r="AG57" t="b">
        <v>0</v>
      </c>
      <c r="AH57" t="b">
        <v>1</v>
      </c>
      <c r="AI57">
        <v>861</v>
      </c>
      <c r="AJ57">
        <v>1</v>
      </c>
      <c r="AK57">
        <v>861</v>
      </c>
      <c r="AL57">
        <v>0</v>
      </c>
      <c r="AM57" t="s">
        <v>47</v>
      </c>
      <c r="AN57" t="s">
        <v>98</v>
      </c>
      <c r="AO57" s="1">
        <v>45831.731029745373</v>
      </c>
      <c r="AP57" t="s">
        <v>51</v>
      </c>
      <c r="AQ57" t="s">
        <v>45</v>
      </c>
      <c r="AR57" t="s">
        <v>52</v>
      </c>
      <c r="AT57" t="s">
        <v>66</v>
      </c>
      <c r="AU57" t="s">
        <v>54</v>
      </c>
      <c r="AV57" t="s">
        <v>56</v>
      </c>
    </row>
    <row r="58" spans="1:48" x14ac:dyDescent="0.55000000000000004">
      <c r="A58">
        <v>1</v>
      </c>
      <c r="B58">
        <v>1300</v>
      </c>
      <c r="C58">
        <v>185</v>
      </c>
      <c r="D58" t="s">
        <v>45</v>
      </c>
      <c r="E58" t="s">
        <v>410</v>
      </c>
      <c r="F58" t="s">
        <v>46</v>
      </c>
      <c r="G58" t="b">
        <v>0</v>
      </c>
      <c r="H58" s="1">
        <f>BVW_BTItemLot[[#This Row],[CreatedDateTime]]-TIME(7,0,0)</f>
        <v>45831.43817681713</v>
      </c>
      <c r="I58" s="1">
        <v>45831.729843483794</v>
      </c>
      <c r="J58" t="s">
        <v>114</v>
      </c>
      <c r="K58" t="b">
        <f ca="1">IF(BVW_BTItemLot[[#This Row],[Age]] &gt; 5, TRUE, FALSE)</f>
        <v>0</v>
      </c>
      <c r="L58" s="2">
        <f ca="1">ROUND(NOW()-BVW_BTItemLot[[#This Row],[UpdatedDateTime]],2)</f>
        <v>1.62</v>
      </c>
      <c r="M58" s="1">
        <v>45831.730207372682</v>
      </c>
      <c r="N58" t="s">
        <v>114</v>
      </c>
      <c r="Q58" t="s">
        <v>411</v>
      </c>
      <c r="S58" t="s">
        <v>47</v>
      </c>
      <c r="T58" t="s">
        <v>48</v>
      </c>
      <c r="U58" t="s">
        <v>49</v>
      </c>
      <c r="V58" t="s">
        <v>61</v>
      </c>
      <c r="W58" t="s">
        <v>78</v>
      </c>
      <c r="X58" t="s">
        <v>50</v>
      </c>
      <c r="Y58" t="s">
        <v>77</v>
      </c>
      <c r="Z58" t="s">
        <v>50</v>
      </c>
      <c r="AB58" t="s">
        <v>403</v>
      </c>
      <c r="AC58" t="s">
        <v>377</v>
      </c>
      <c r="AD58" t="s">
        <v>80</v>
      </c>
      <c r="AE58" t="s">
        <v>81</v>
      </c>
      <c r="AF58" t="s">
        <v>82</v>
      </c>
      <c r="AG58" t="b">
        <v>0</v>
      </c>
      <c r="AH58" t="b">
        <v>1</v>
      </c>
      <c r="AI58">
        <v>1300</v>
      </c>
      <c r="AJ58">
        <v>1</v>
      </c>
      <c r="AK58">
        <v>1300</v>
      </c>
      <c r="AL58">
        <v>0</v>
      </c>
      <c r="AM58" t="s">
        <v>47</v>
      </c>
      <c r="AN58" t="s">
        <v>68</v>
      </c>
      <c r="AO58" s="1">
        <v>45831.729843483794</v>
      </c>
      <c r="AP58" t="s">
        <v>51</v>
      </c>
      <c r="AQ58" t="s">
        <v>45</v>
      </c>
      <c r="AR58" t="s">
        <v>52</v>
      </c>
      <c r="AU58" t="s">
        <v>72</v>
      </c>
      <c r="AV58" t="s">
        <v>73</v>
      </c>
    </row>
    <row r="59" spans="1:48" x14ac:dyDescent="0.55000000000000004">
      <c r="A59">
        <v>1</v>
      </c>
      <c r="B59">
        <v>790</v>
      </c>
      <c r="C59">
        <v>580</v>
      </c>
      <c r="D59" t="s">
        <v>45</v>
      </c>
      <c r="E59" t="s">
        <v>412</v>
      </c>
      <c r="F59" t="s">
        <v>46</v>
      </c>
      <c r="G59" t="b">
        <v>0</v>
      </c>
      <c r="H59" s="1">
        <f>BVW_BTItemLot[[#This Row],[CreatedDateTime]]-TIME(7,0,0)</f>
        <v>45831.434125578708</v>
      </c>
      <c r="I59" s="1">
        <v>45831.725792245372</v>
      </c>
      <c r="J59" t="s">
        <v>255</v>
      </c>
      <c r="K59" t="b">
        <f ca="1">IF(BVW_BTItemLot[[#This Row],[Age]] &gt; 5, TRUE, FALSE)</f>
        <v>0</v>
      </c>
      <c r="L59" s="2">
        <f ca="1">ROUND(NOW()-BVW_BTItemLot[[#This Row],[UpdatedDateTime]],2)</f>
        <v>1.62</v>
      </c>
      <c r="M59" s="1">
        <v>45831.729931678237</v>
      </c>
      <c r="N59" t="s">
        <v>255</v>
      </c>
      <c r="Q59" t="s">
        <v>413</v>
      </c>
      <c r="S59" t="s">
        <v>47</v>
      </c>
      <c r="T59" t="s">
        <v>48</v>
      </c>
      <c r="U59" t="s">
        <v>49</v>
      </c>
      <c r="V59" t="s">
        <v>49</v>
      </c>
      <c r="W59" t="s">
        <v>64</v>
      </c>
      <c r="X59" t="s">
        <v>50</v>
      </c>
      <c r="Y59" t="s">
        <v>65</v>
      </c>
      <c r="AB59" t="s">
        <v>414</v>
      </c>
      <c r="AC59" t="s">
        <v>367</v>
      </c>
      <c r="AD59" t="s">
        <v>415</v>
      </c>
      <c r="AE59" t="s">
        <v>416</v>
      </c>
      <c r="AF59" t="s">
        <v>417</v>
      </c>
      <c r="AG59" t="b">
        <v>0</v>
      </c>
      <c r="AH59" t="b">
        <v>1</v>
      </c>
      <c r="AI59">
        <v>790</v>
      </c>
      <c r="AJ59">
        <v>1</v>
      </c>
      <c r="AK59">
        <v>790</v>
      </c>
      <c r="AL59">
        <v>0</v>
      </c>
      <c r="AM59" t="s">
        <v>47</v>
      </c>
      <c r="AN59" t="s">
        <v>98</v>
      </c>
      <c r="AO59" s="1">
        <v>45831.725792245372</v>
      </c>
      <c r="AP59" t="s">
        <v>51</v>
      </c>
      <c r="AQ59" t="s">
        <v>45</v>
      </c>
      <c r="AR59" t="s">
        <v>52</v>
      </c>
      <c r="AS59" t="s">
        <v>55</v>
      </c>
      <c r="AU59" t="s">
        <v>107</v>
      </c>
      <c r="AV59" t="s">
        <v>107</v>
      </c>
    </row>
    <row r="60" spans="1:48" x14ac:dyDescent="0.55000000000000004">
      <c r="A60">
        <v>1</v>
      </c>
      <c r="B60">
        <v>1268</v>
      </c>
      <c r="C60">
        <v>185</v>
      </c>
      <c r="D60" t="s">
        <v>45</v>
      </c>
      <c r="E60" t="s">
        <v>418</v>
      </c>
      <c r="F60" t="s">
        <v>46</v>
      </c>
      <c r="G60" t="b">
        <v>0</v>
      </c>
      <c r="H60" s="1">
        <f>BVW_BTItemLot[[#This Row],[CreatedDateTime]]-TIME(7,0,0)</f>
        <v>45831.434088391208</v>
      </c>
      <c r="I60" s="1">
        <v>45831.725755057872</v>
      </c>
      <c r="J60" t="s">
        <v>114</v>
      </c>
      <c r="K60" t="b">
        <f ca="1">IF(BVW_BTItemLot[[#This Row],[Age]] &gt; 5, TRUE, FALSE)</f>
        <v>0</v>
      </c>
      <c r="L60" s="2">
        <f ca="1">ROUND(NOW()-BVW_BTItemLot[[#This Row],[UpdatedDateTime]],2)</f>
        <v>1.63</v>
      </c>
      <c r="M60" s="1">
        <v>45831.72618607639</v>
      </c>
      <c r="N60" t="s">
        <v>114</v>
      </c>
      <c r="Q60" t="s">
        <v>419</v>
      </c>
      <c r="S60" t="s">
        <v>47</v>
      </c>
      <c r="T60" t="s">
        <v>48</v>
      </c>
      <c r="U60" t="s">
        <v>49</v>
      </c>
      <c r="V60" t="s">
        <v>61</v>
      </c>
      <c r="W60" t="s">
        <v>76</v>
      </c>
      <c r="X60" t="s">
        <v>50</v>
      </c>
      <c r="Y60" t="s">
        <v>77</v>
      </c>
      <c r="Z60" t="s">
        <v>57</v>
      </c>
      <c r="AB60" t="s">
        <v>420</v>
      </c>
      <c r="AC60" t="s">
        <v>377</v>
      </c>
      <c r="AD60" t="s">
        <v>178</v>
      </c>
      <c r="AE60" t="s">
        <v>179</v>
      </c>
      <c r="AF60" t="s">
        <v>180</v>
      </c>
      <c r="AG60" t="b">
        <v>0</v>
      </c>
      <c r="AH60" t="b">
        <v>1</v>
      </c>
      <c r="AI60">
        <v>1268</v>
      </c>
      <c r="AJ60">
        <v>1</v>
      </c>
      <c r="AK60">
        <v>1268</v>
      </c>
      <c r="AL60">
        <v>0</v>
      </c>
      <c r="AM60" t="s">
        <v>47</v>
      </c>
      <c r="AN60" t="s">
        <v>68</v>
      </c>
      <c r="AO60" s="1">
        <v>45831.725755057872</v>
      </c>
      <c r="AP60" t="s">
        <v>51</v>
      </c>
      <c r="AQ60" t="s">
        <v>45</v>
      </c>
      <c r="AR60" t="s">
        <v>52</v>
      </c>
      <c r="AT60" t="s">
        <v>53</v>
      </c>
      <c r="AU60" t="s">
        <v>54</v>
      </c>
      <c r="AV60" t="s">
        <v>74</v>
      </c>
    </row>
    <row r="61" spans="1:48" x14ac:dyDescent="0.55000000000000004">
      <c r="A61">
        <v>1</v>
      </c>
      <c r="B61">
        <v>1385</v>
      </c>
      <c r="C61">
        <v>185</v>
      </c>
      <c r="D61" t="s">
        <v>45</v>
      </c>
      <c r="E61" t="s">
        <v>321</v>
      </c>
      <c r="F61" t="s">
        <v>46</v>
      </c>
      <c r="G61" t="b">
        <v>0</v>
      </c>
      <c r="H61" s="1">
        <f>BVW_BTItemLot[[#This Row],[CreatedDateTime]]-TIME(7,0,0)</f>
        <v>45830.946863310186</v>
      </c>
      <c r="I61" s="1">
        <v>45831.23852997685</v>
      </c>
      <c r="J61" t="s">
        <v>103</v>
      </c>
      <c r="K61" t="b">
        <f ca="1">IF(BVW_BTItemLot[[#This Row],[Age]] &gt; 5, TRUE, FALSE)</f>
        <v>0</v>
      </c>
      <c r="L61" s="2">
        <f ca="1">ROUND(NOW()-BVW_BTItemLot[[#This Row],[UpdatedDateTime]],2)</f>
        <v>2.11</v>
      </c>
      <c r="M61" s="1">
        <v>45831.238881215279</v>
      </c>
      <c r="N61" t="s">
        <v>103</v>
      </c>
      <c r="Q61" t="s">
        <v>322</v>
      </c>
      <c r="S61" t="s">
        <v>47</v>
      </c>
      <c r="T61" t="s">
        <v>48</v>
      </c>
      <c r="U61" t="s">
        <v>49</v>
      </c>
      <c r="V61" t="s">
        <v>61</v>
      </c>
      <c r="W61" t="s">
        <v>78</v>
      </c>
      <c r="X61" t="s">
        <v>50</v>
      </c>
      <c r="Y61" t="s">
        <v>77</v>
      </c>
      <c r="Z61" t="s">
        <v>50</v>
      </c>
      <c r="AB61" t="s">
        <v>323</v>
      </c>
      <c r="AC61" t="s">
        <v>324</v>
      </c>
      <c r="AD61" t="s">
        <v>108</v>
      </c>
      <c r="AE61" t="s">
        <v>109</v>
      </c>
      <c r="AF61" t="s">
        <v>110</v>
      </c>
      <c r="AG61" t="b">
        <v>0</v>
      </c>
      <c r="AH61" t="b">
        <v>1</v>
      </c>
      <c r="AI61">
        <v>1300</v>
      </c>
      <c r="AJ61">
        <v>1</v>
      </c>
      <c r="AK61">
        <v>1300</v>
      </c>
      <c r="AL61">
        <v>0</v>
      </c>
      <c r="AM61" t="s">
        <v>47</v>
      </c>
      <c r="AN61" t="s">
        <v>68</v>
      </c>
      <c r="AO61" s="1">
        <v>45831.137273842593</v>
      </c>
      <c r="AP61" t="s">
        <v>51</v>
      </c>
      <c r="AQ61" t="s">
        <v>45</v>
      </c>
      <c r="AR61" t="s">
        <v>52</v>
      </c>
      <c r="AS61" t="s">
        <v>79</v>
      </c>
      <c r="AU61" t="s">
        <v>54</v>
      </c>
    </row>
    <row r="62" spans="1:48" x14ac:dyDescent="0.55000000000000004">
      <c r="A62">
        <v>1</v>
      </c>
      <c r="B62">
        <v>629</v>
      </c>
      <c r="C62">
        <v>580</v>
      </c>
      <c r="D62" t="s">
        <v>45</v>
      </c>
      <c r="E62" t="s">
        <v>327</v>
      </c>
      <c r="F62" t="s">
        <v>46</v>
      </c>
      <c r="G62" t="b">
        <v>0</v>
      </c>
      <c r="H62" s="1">
        <f>BVW_BTItemLot[[#This Row],[CreatedDateTime]]-TIME(7,0,0)</f>
        <v>45830.876726273149</v>
      </c>
      <c r="I62" s="1">
        <v>45831.168392939813</v>
      </c>
      <c r="J62" t="s">
        <v>62</v>
      </c>
      <c r="K62" t="b">
        <f ca="1">IF(BVW_BTItemLot[[#This Row],[Age]] &gt; 5, TRUE, FALSE)</f>
        <v>0</v>
      </c>
      <c r="L62" s="2">
        <f ca="1">ROUND(NOW()-BVW_BTItemLot[[#This Row],[UpdatedDateTime]],2)</f>
        <v>2.1800000000000002</v>
      </c>
      <c r="M62" s="1">
        <v>45831.168393136577</v>
      </c>
      <c r="N62" t="s">
        <v>62</v>
      </c>
      <c r="Q62" t="s">
        <v>168</v>
      </c>
      <c r="S62" t="s">
        <v>47</v>
      </c>
      <c r="T62" t="s">
        <v>48</v>
      </c>
      <c r="U62" t="s">
        <v>49</v>
      </c>
      <c r="V62" t="s">
        <v>61</v>
      </c>
      <c r="W62" t="s">
        <v>76</v>
      </c>
      <c r="X62" t="s">
        <v>50</v>
      </c>
      <c r="Y62" t="s">
        <v>77</v>
      </c>
      <c r="Z62" t="s">
        <v>57</v>
      </c>
      <c r="AB62" t="s">
        <v>328</v>
      </c>
      <c r="AC62" t="s">
        <v>284</v>
      </c>
      <c r="AD62" t="s">
        <v>140</v>
      </c>
      <c r="AE62" t="s">
        <v>141</v>
      </c>
      <c r="AF62" t="s">
        <v>142</v>
      </c>
      <c r="AG62" t="b">
        <v>0</v>
      </c>
      <c r="AH62" t="b">
        <v>1</v>
      </c>
      <c r="AI62">
        <v>629</v>
      </c>
      <c r="AJ62">
        <v>1</v>
      </c>
      <c r="AK62">
        <v>629</v>
      </c>
      <c r="AL62">
        <v>0</v>
      </c>
      <c r="AM62" t="s">
        <v>47</v>
      </c>
      <c r="AN62" t="s">
        <v>112</v>
      </c>
      <c r="AO62" s="1">
        <v>45831.168392939813</v>
      </c>
      <c r="AP62" t="s">
        <v>51</v>
      </c>
      <c r="AQ62" t="s">
        <v>87</v>
      </c>
      <c r="AR62" t="s">
        <v>52</v>
      </c>
      <c r="AV62" t="s">
        <v>73</v>
      </c>
    </row>
    <row r="63" spans="1:48" x14ac:dyDescent="0.55000000000000004">
      <c r="A63">
        <v>1</v>
      </c>
      <c r="B63">
        <v>1300</v>
      </c>
      <c r="C63">
        <v>185</v>
      </c>
      <c r="D63" t="s">
        <v>45</v>
      </c>
      <c r="E63" t="s">
        <v>329</v>
      </c>
      <c r="F63" t="s">
        <v>46</v>
      </c>
      <c r="G63" t="b">
        <v>0</v>
      </c>
      <c r="H63" s="1">
        <f>BVW_BTItemLot[[#This Row],[CreatedDateTime]]-TIME(7,0,0)</f>
        <v>45830.845607175928</v>
      </c>
      <c r="I63" s="1">
        <v>45831.137273842593</v>
      </c>
      <c r="J63" t="s">
        <v>103</v>
      </c>
      <c r="K63" t="b">
        <f ca="1">IF(BVW_BTItemLot[[#This Row],[Age]] &gt; 5, TRUE, FALSE)</f>
        <v>0</v>
      </c>
      <c r="L63" s="2">
        <f ca="1">ROUND(NOW()-BVW_BTItemLot[[#This Row],[UpdatedDateTime]],2)</f>
        <v>2.21</v>
      </c>
      <c r="M63" s="1">
        <v>45831.137696296297</v>
      </c>
      <c r="N63" t="s">
        <v>103</v>
      </c>
      <c r="Q63" t="s">
        <v>322</v>
      </c>
      <c r="S63" t="s">
        <v>47</v>
      </c>
      <c r="T63" t="s">
        <v>48</v>
      </c>
      <c r="U63" t="s">
        <v>49</v>
      </c>
      <c r="V63" t="s">
        <v>61</v>
      </c>
      <c r="W63" t="s">
        <v>78</v>
      </c>
      <c r="X63" t="s">
        <v>50</v>
      </c>
      <c r="Y63" t="s">
        <v>77</v>
      </c>
      <c r="Z63" t="s">
        <v>50</v>
      </c>
      <c r="AB63" t="s">
        <v>323</v>
      </c>
      <c r="AC63" t="s">
        <v>324</v>
      </c>
      <c r="AD63" t="s">
        <v>108</v>
      </c>
      <c r="AE63" t="s">
        <v>109</v>
      </c>
      <c r="AF63" t="s">
        <v>110</v>
      </c>
      <c r="AG63" t="b">
        <v>0</v>
      </c>
      <c r="AH63" t="b">
        <v>1</v>
      </c>
      <c r="AI63">
        <v>1300</v>
      </c>
      <c r="AJ63">
        <v>1</v>
      </c>
      <c r="AK63">
        <v>1300</v>
      </c>
      <c r="AL63">
        <v>0</v>
      </c>
      <c r="AM63" t="s">
        <v>47</v>
      </c>
      <c r="AN63" t="s">
        <v>68</v>
      </c>
      <c r="AO63" s="1">
        <v>45831.137273842593</v>
      </c>
      <c r="AP63" t="s">
        <v>51</v>
      </c>
      <c r="AQ63" t="s">
        <v>45</v>
      </c>
      <c r="AR63" t="s">
        <v>52</v>
      </c>
      <c r="AS63" t="s">
        <v>79</v>
      </c>
      <c r="AU63" t="s">
        <v>54</v>
      </c>
    </row>
    <row r="64" spans="1:48" x14ac:dyDescent="0.55000000000000004">
      <c r="A64">
        <v>1</v>
      </c>
      <c r="B64">
        <v>1266</v>
      </c>
      <c r="C64">
        <v>185</v>
      </c>
      <c r="D64" t="s">
        <v>45</v>
      </c>
      <c r="E64" t="s">
        <v>330</v>
      </c>
      <c r="F64" t="s">
        <v>46</v>
      </c>
      <c r="G64" t="b">
        <v>0</v>
      </c>
      <c r="H64" s="1">
        <f>BVW_BTItemLot[[#This Row],[CreatedDateTime]]-TIME(7,0,0)</f>
        <v>45830.563777627314</v>
      </c>
      <c r="I64" s="1">
        <v>45830.855444293979</v>
      </c>
      <c r="J64" t="s">
        <v>114</v>
      </c>
      <c r="K64" t="b">
        <f ca="1">IF(BVW_BTItemLot[[#This Row],[Age]] &gt; 5, TRUE, FALSE)</f>
        <v>0</v>
      </c>
      <c r="L64" s="2">
        <f ca="1">ROUND(NOW()-BVW_BTItemLot[[#This Row],[UpdatedDateTime]],2)</f>
        <v>2.5</v>
      </c>
      <c r="M64" s="1">
        <v>45830.85598472222</v>
      </c>
      <c r="N64" t="s">
        <v>114</v>
      </c>
      <c r="Q64" t="s">
        <v>155</v>
      </c>
      <c r="S64" t="s">
        <v>47</v>
      </c>
      <c r="T64" t="s">
        <v>48</v>
      </c>
      <c r="U64" t="s">
        <v>49</v>
      </c>
      <c r="V64" t="s">
        <v>61</v>
      </c>
      <c r="W64" t="s">
        <v>78</v>
      </c>
      <c r="X64" t="s">
        <v>50</v>
      </c>
      <c r="Y64" t="s">
        <v>77</v>
      </c>
      <c r="Z64" t="s">
        <v>50</v>
      </c>
      <c r="AB64" t="s">
        <v>331</v>
      </c>
      <c r="AC64" t="s">
        <v>324</v>
      </c>
      <c r="AD64" t="s">
        <v>80</v>
      </c>
      <c r="AE64" t="s">
        <v>81</v>
      </c>
      <c r="AF64" t="s">
        <v>82</v>
      </c>
      <c r="AG64" t="b">
        <v>0</v>
      </c>
      <c r="AH64" t="b">
        <v>1</v>
      </c>
      <c r="AI64">
        <v>1313</v>
      </c>
      <c r="AJ64">
        <v>1</v>
      </c>
      <c r="AK64">
        <v>1313</v>
      </c>
      <c r="AL64">
        <v>0</v>
      </c>
      <c r="AM64" t="s">
        <v>47</v>
      </c>
      <c r="AN64" t="s">
        <v>68</v>
      </c>
      <c r="AO64" s="1">
        <v>45830.72659366898</v>
      </c>
      <c r="AP64" t="s">
        <v>51</v>
      </c>
      <c r="AQ64" t="s">
        <v>45</v>
      </c>
      <c r="AR64" t="s">
        <v>52</v>
      </c>
      <c r="AU64" t="s">
        <v>72</v>
      </c>
      <c r="AV64" t="s">
        <v>73</v>
      </c>
    </row>
    <row r="65" spans="1:48" x14ac:dyDescent="0.55000000000000004">
      <c r="A65">
        <v>1</v>
      </c>
      <c r="B65">
        <v>1212</v>
      </c>
      <c r="C65">
        <v>185</v>
      </c>
      <c r="D65" t="s">
        <v>45</v>
      </c>
      <c r="E65" t="s">
        <v>332</v>
      </c>
      <c r="F65" t="s">
        <v>46</v>
      </c>
      <c r="G65" t="b">
        <v>0</v>
      </c>
      <c r="H65" s="1">
        <f>BVW_BTItemLot[[#This Row],[CreatedDateTime]]-TIME(7,0,0)</f>
        <v>45830.340347800928</v>
      </c>
      <c r="I65" s="1">
        <v>45830.632014467592</v>
      </c>
      <c r="J65" t="s">
        <v>117</v>
      </c>
      <c r="K65" t="b">
        <f ca="1">IF(BVW_BTItemLot[[#This Row],[Age]] &gt; 5, TRUE, FALSE)</f>
        <v>0</v>
      </c>
      <c r="L65" s="2">
        <f ca="1">ROUND(NOW()-BVW_BTItemLot[[#This Row],[UpdatedDateTime]],2)</f>
        <v>2.72</v>
      </c>
      <c r="M65" s="1">
        <v>45830.632014618059</v>
      </c>
      <c r="N65" t="s">
        <v>117</v>
      </c>
      <c r="Q65" t="s">
        <v>291</v>
      </c>
      <c r="S65" t="s">
        <v>47</v>
      </c>
      <c r="T65" t="s">
        <v>48</v>
      </c>
      <c r="U65" t="s">
        <v>49</v>
      </c>
      <c r="V65" t="s">
        <v>49</v>
      </c>
      <c r="W65" t="s">
        <v>138</v>
      </c>
      <c r="X65" t="s">
        <v>50</v>
      </c>
      <c r="Y65" t="s">
        <v>63</v>
      </c>
      <c r="Z65" t="s">
        <v>139</v>
      </c>
      <c r="AB65" t="s">
        <v>333</v>
      </c>
      <c r="AC65" t="s">
        <v>282</v>
      </c>
      <c r="AD65" t="s">
        <v>80</v>
      </c>
      <c r="AE65" t="s">
        <v>81</v>
      </c>
      <c r="AF65" t="s">
        <v>82</v>
      </c>
      <c r="AG65" t="b">
        <v>0</v>
      </c>
      <c r="AH65" t="b">
        <v>1</v>
      </c>
      <c r="AI65">
        <v>1629</v>
      </c>
      <c r="AJ65">
        <v>1</v>
      </c>
      <c r="AK65">
        <v>1629</v>
      </c>
      <c r="AL65">
        <v>0</v>
      </c>
      <c r="AM65" t="s">
        <v>47</v>
      </c>
      <c r="AN65" t="s">
        <v>67</v>
      </c>
      <c r="AO65" s="1">
        <v>45830.630620057869</v>
      </c>
      <c r="AP65" t="s">
        <v>51</v>
      </c>
      <c r="AQ65" t="s">
        <v>45</v>
      </c>
      <c r="AR65" t="s">
        <v>52</v>
      </c>
      <c r="AU65" t="s">
        <v>72</v>
      </c>
      <c r="AV65" t="s">
        <v>73</v>
      </c>
    </row>
    <row r="66" spans="1:48" x14ac:dyDescent="0.55000000000000004">
      <c r="A66">
        <v>1</v>
      </c>
      <c r="B66">
        <v>858</v>
      </c>
      <c r="C66">
        <v>500</v>
      </c>
      <c r="D66" t="s">
        <v>45</v>
      </c>
      <c r="E66" t="s">
        <v>334</v>
      </c>
      <c r="F66" t="s">
        <v>46</v>
      </c>
      <c r="G66" t="b">
        <v>0</v>
      </c>
      <c r="H66" s="1">
        <f>BVW_BTItemLot[[#This Row],[CreatedDateTime]]-TIME(7,0,0)</f>
        <v>45830.267380358797</v>
      </c>
      <c r="I66" s="1">
        <v>45830.559047025461</v>
      </c>
      <c r="J66" t="s">
        <v>154</v>
      </c>
      <c r="K66" t="b">
        <f ca="1">IF(BVW_BTItemLot[[#This Row],[Age]] &gt; 5, TRUE, FALSE)</f>
        <v>0</v>
      </c>
      <c r="L66" s="2">
        <f ca="1">ROUND(NOW()-BVW_BTItemLot[[#This Row],[UpdatedDateTime]],2)</f>
        <v>2.79</v>
      </c>
      <c r="M66" s="1">
        <v>45830.559854282408</v>
      </c>
      <c r="N66" t="s">
        <v>154</v>
      </c>
      <c r="Q66" t="s">
        <v>335</v>
      </c>
      <c r="S66" t="s">
        <v>47</v>
      </c>
      <c r="T66" t="s">
        <v>48</v>
      </c>
      <c r="U66" t="s">
        <v>49</v>
      </c>
      <c r="V66" t="s">
        <v>49</v>
      </c>
      <c r="W66" t="s">
        <v>186</v>
      </c>
      <c r="X66" t="s">
        <v>50</v>
      </c>
      <c r="Y66" t="s">
        <v>63</v>
      </c>
      <c r="Z66" t="s">
        <v>65</v>
      </c>
      <c r="AB66" t="s">
        <v>336</v>
      </c>
      <c r="AC66" t="s">
        <v>318</v>
      </c>
      <c r="AD66" t="s">
        <v>270</v>
      </c>
      <c r="AE66" t="s">
        <v>271</v>
      </c>
      <c r="AF66" t="s">
        <v>272</v>
      </c>
      <c r="AG66" t="b">
        <v>0</v>
      </c>
      <c r="AH66" t="b">
        <v>1</v>
      </c>
      <c r="AI66">
        <v>1643</v>
      </c>
      <c r="AJ66">
        <v>1</v>
      </c>
      <c r="AK66">
        <v>1643</v>
      </c>
      <c r="AL66">
        <v>0</v>
      </c>
      <c r="AM66" t="s">
        <v>47</v>
      </c>
      <c r="AN66" t="s">
        <v>98</v>
      </c>
      <c r="AO66" s="1">
        <v>45830.497858680559</v>
      </c>
      <c r="AP66" t="s">
        <v>51</v>
      </c>
      <c r="AQ66" t="s">
        <v>45</v>
      </c>
      <c r="AR66" t="s">
        <v>52</v>
      </c>
      <c r="AT66" t="s">
        <v>53</v>
      </c>
      <c r="AU66" t="s">
        <v>54</v>
      </c>
      <c r="AV66" t="s">
        <v>176</v>
      </c>
    </row>
    <row r="67" spans="1:48" x14ac:dyDescent="0.55000000000000004">
      <c r="A67">
        <v>1</v>
      </c>
      <c r="B67">
        <v>740</v>
      </c>
      <c r="C67">
        <v>580</v>
      </c>
      <c r="D67" t="s">
        <v>45</v>
      </c>
      <c r="E67" t="s">
        <v>337</v>
      </c>
      <c r="F67" t="s">
        <v>46</v>
      </c>
      <c r="G67" t="b">
        <v>0</v>
      </c>
      <c r="H67" s="1">
        <f>BVW_BTItemLot[[#This Row],[CreatedDateTime]]-TIME(7,0,0)</f>
        <v>45830.237891932869</v>
      </c>
      <c r="I67" s="1">
        <v>45830.529558599534</v>
      </c>
      <c r="J67" t="s">
        <v>205</v>
      </c>
      <c r="K67" t="b">
        <f ca="1">IF(BVW_BTItemLot[[#This Row],[Age]] &gt; 5, TRUE, FALSE)</f>
        <v>0</v>
      </c>
      <c r="L67" s="2">
        <f ca="1">ROUND(NOW()-BVW_BTItemLot[[#This Row],[UpdatedDateTime]],2)</f>
        <v>2.82</v>
      </c>
      <c r="M67" s="1">
        <v>45830.531080555556</v>
      </c>
      <c r="N67" t="s">
        <v>205</v>
      </c>
      <c r="Q67" t="s">
        <v>338</v>
      </c>
      <c r="S67" t="s">
        <v>47</v>
      </c>
      <c r="T67" t="s">
        <v>48</v>
      </c>
      <c r="U67" t="s">
        <v>49</v>
      </c>
      <c r="V67" t="s">
        <v>49</v>
      </c>
      <c r="W67" t="s">
        <v>58</v>
      </c>
      <c r="X67" t="s">
        <v>50</v>
      </c>
      <c r="Y67" t="s">
        <v>59</v>
      </c>
      <c r="AB67" t="s">
        <v>339</v>
      </c>
      <c r="AC67" t="s">
        <v>320</v>
      </c>
      <c r="AD67" t="s">
        <v>296</v>
      </c>
      <c r="AE67" t="s">
        <v>297</v>
      </c>
      <c r="AF67" t="s">
        <v>298</v>
      </c>
      <c r="AG67" t="b">
        <v>0</v>
      </c>
      <c r="AH67" t="b">
        <v>1</v>
      </c>
      <c r="AI67">
        <v>975</v>
      </c>
      <c r="AJ67">
        <v>1</v>
      </c>
      <c r="AK67">
        <v>975</v>
      </c>
      <c r="AL67">
        <v>0</v>
      </c>
      <c r="AM67" t="s">
        <v>47</v>
      </c>
      <c r="AN67" t="s">
        <v>60</v>
      </c>
      <c r="AO67" s="1">
        <v>45830.414142974536</v>
      </c>
      <c r="AP67" t="s">
        <v>51</v>
      </c>
      <c r="AQ67" t="s">
        <v>45</v>
      </c>
      <c r="AR67" t="s">
        <v>52</v>
      </c>
      <c r="AT67" t="s">
        <v>66</v>
      </c>
      <c r="AU67" t="s">
        <v>54</v>
      </c>
      <c r="AV67" t="s">
        <v>151</v>
      </c>
    </row>
    <row r="68" spans="1:48" x14ac:dyDescent="0.55000000000000004">
      <c r="A68">
        <v>1</v>
      </c>
      <c r="B68">
        <v>775</v>
      </c>
      <c r="C68">
        <v>500</v>
      </c>
      <c r="D68" t="s">
        <v>45</v>
      </c>
      <c r="E68" t="s">
        <v>341</v>
      </c>
      <c r="F68" t="s">
        <v>46</v>
      </c>
      <c r="G68" t="b">
        <v>0</v>
      </c>
      <c r="H68" s="1">
        <f>BVW_BTItemLot[[#This Row],[CreatedDateTime]]-TIME(7,0,0)</f>
        <v>45829.915451469911</v>
      </c>
      <c r="I68" s="1">
        <v>45830.207118136575</v>
      </c>
      <c r="J68" t="s">
        <v>62</v>
      </c>
      <c r="K68" t="b">
        <f ca="1">IF(BVW_BTItemLot[[#This Row],[Age]] &gt; 5, TRUE, FALSE)</f>
        <v>0</v>
      </c>
      <c r="L68" s="2">
        <f ca="1">ROUND(NOW()-BVW_BTItemLot[[#This Row],[UpdatedDateTime]],2)</f>
        <v>3.14</v>
      </c>
      <c r="M68" s="1">
        <v>45830.207650462966</v>
      </c>
      <c r="N68" t="s">
        <v>62</v>
      </c>
      <c r="Q68" t="s">
        <v>168</v>
      </c>
      <c r="S68" t="s">
        <v>47</v>
      </c>
      <c r="T68" t="s">
        <v>48</v>
      </c>
      <c r="U68" t="s">
        <v>49</v>
      </c>
      <c r="V68" t="s">
        <v>49</v>
      </c>
      <c r="W68" t="s">
        <v>58</v>
      </c>
      <c r="X68" t="s">
        <v>50</v>
      </c>
      <c r="Y68" t="s">
        <v>59</v>
      </c>
      <c r="AB68" t="s">
        <v>342</v>
      </c>
      <c r="AC68" t="s">
        <v>343</v>
      </c>
      <c r="AD68" t="s">
        <v>169</v>
      </c>
      <c r="AE68" t="s">
        <v>170</v>
      </c>
      <c r="AF68" t="s">
        <v>171</v>
      </c>
      <c r="AG68" t="b">
        <v>0</v>
      </c>
      <c r="AH68" t="b">
        <v>1</v>
      </c>
      <c r="AI68">
        <v>1378</v>
      </c>
      <c r="AJ68">
        <v>1</v>
      </c>
      <c r="AK68">
        <v>1378</v>
      </c>
      <c r="AL68">
        <v>0</v>
      </c>
      <c r="AM68" t="s">
        <v>47</v>
      </c>
      <c r="AN68" t="s">
        <v>60</v>
      </c>
      <c r="AO68" s="1">
        <v>45830.205758877317</v>
      </c>
      <c r="AP68" t="s">
        <v>51</v>
      </c>
      <c r="AQ68" t="s">
        <v>45</v>
      </c>
      <c r="AR68" t="s">
        <v>52</v>
      </c>
      <c r="AT68" t="s">
        <v>66</v>
      </c>
      <c r="AU68" t="s">
        <v>54</v>
      </c>
      <c r="AV68" t="s">
        <v>160</v>
      </c>
    </row>
    <row r="69" spans="1:48" x14ac:dyDescent="0.55000000000000004">
      <c r="A69">
        <v>1</v>
      </c>
      <c r="B69">
        <v>928</v>
      </c>
      <c r="C69">
        <v>185</v>
      </c>
      <c r="D69" t="s">
        <v>45</v>
      </c>
      <c r="E69" t="s">
        <v>344</v>
      </c>
      <c r="F69" t="s">
        <v>46</v>
      </c>
      <c r="G69" t="b">
        <v>0</v>
      </c>
      <c r="H69" s="1">
        <f>BVW_BTItemLot[[#This Row],[CreatedDateTime]]-TIME(7,0,0)</f>
        <v>45829.826576736115</v>
      </c>
      <c r="I69" s="1">
        <v>45830.11824340278</v>
      </c>
      <c r="J69" t="s">
        <v>103</v>
      </c>
      <c r="K69" t="b">
        <f ca="1">IF(BVW_BTItemLot[[#This Row],[Age]] &gt; 5, TRUE, FALSE)</f>
        <v>0</v>
      </c>
      <c r="L69" s="2">
        <f ca="1">ROUND(NOW()-BVW_BTItemLot[[#This Row],[UpdatedDateTime]],2)</f>
        <v>3.23</v>
      </c>
      <c r="M69" s="1">
        <v>45830.118654548613</v>
      </c>
      <c r="N69" t="s">
        <v>103</v>
      </c>
      <c r="Q69" t="s">
        <v>187</v>
      </c>
      <c r="S69" t="s">
        <v>47</v>
      </c>
      <c r="T69" t="s">
        <v>48</v>
      </c>
      <c r="U69" t="s">
        <v>49</v>
      </c>
      <c r="V69" t="s">
        <v>61</v>
      </c>
      <c r="W69" t="s">
        <v>78</v>
      </c>
      <c r="X69" t="s">
        <v>50</v>
      </c>
      <c r="Y69" t="s">
        <v>77</v>
      </c>
      <c r="Z69" t="s">
        <v>50</v>
      </c>
      <c r="AB69" t="s">
        <v>345</v>
      </c>
      <c r="AC69" t="s">
        <v>340</v>
      </c>
      <c r="AD69" t="s">
        <v>80</v>
      </c>
      <c r="AE69" t="s">
        <v>81</v>
      </c>
      <c r="AF69" t="s">
        <v>82</v>
      </c>
      <c r="AG69" t="b">
        <v>0</v>
      </c>
      <c r="AH69" t="b">
        <v>1</v>
      </c>
      <c r="AI69">
        <v>928</v>
      </c>
      <c r="AJ69">
        <v>1</v>
      </c>
      <c r="AK69">
        <v>928</v>
      </c>
      <c r="AL69">
        <v>0</v>
      </c>
      <c r="AM69" t="s">
        <v>47</v>
      </c>
      <c r="AN69" t="s">
        <v>68</v>
      </c>
      <c r="AO69" s="1">
        <v>45830.11824340278</v>
      </c>
      <c r="AP69" t="s">
        <v>51</v>
      </c>
      <c r="AQ69" t="s">
        <v>45</v>
      </c>
      <c r="AR69" t="s">
        <v>52</v>
      </c>
      <c r="AU69" t="s">
        <v>72</v>
      </c>
      <c r="AV69" t="s">
        <v>73</v>
      </c>
    </row>
    <row r="70" spans="1:48" x14ac:dyDescent="0.55000000000000004">
      <c r="A70">
        <v>1</v>
      </c>
      <c r="B70">
        <v>1489</v>
      </c>
      <c r="C70">
        <v>185</v>
      </c>
      <c r="D70" t="s">
        <v>45</v>
      </c>
      <c r="E70" t="s">
        <v>346</v>
      </c>
      <c r="F70" t="s">
        <v>46</v>
      </c>
      <c r="G70" t="b">
        <v>0</v>
      </c>
      <c r="H70" s="1">
        <f>BVW_BTItemLot[[#This Row],[CreatedDateTime]]-TIME(7,0,0)</f>
        <v>45829.488639039351</v>
      </c>
      <c r="I70" s="1">
        <v>45829.780305706015</v>
      </c>
      <c r="J70" t="s">
        <v>114</v>
      </c>
      <c r="K70" t="b">
        <f ca="1">IF(BVW_BTItemLot[[#This Row],[Age]] &gt; 5, TRUE, FALSE)</f>
        <v>0</v>
      </c>
      <c r="L70" s="2">
        <f ca="1">ROUND(NOW()-BVW_BTItemLot[[#This Row],[UpdatedDateTime]],2)</f>
        <v>3.57</v>
      </c>
      <c r="M70" s="1">
        <v>45829.780523032408</v>
      </c>
      <c r="N70" t="s">
        <v>114</v>
      </c>
      <c r="Q70" t="s">
        <v>347</v>
      </c>
      <c r="S70" t="s">
        <v>47</v>
      </c>
      <c r="T70" t="s">
        <v>48</v>
      </c>
      <c r="U70" t="s">
        <v>49</v>
      </c>
      <c r="V70" t="s">
        <v>61</v>
      </c>
      <c r="W70" t="s">
        <v>76</v>
      </c>
      <c r="X70" t="s">
        <v>50</v>
      </c>
      <c r="Y70" t="s">
        <v>77</v>
      </c>
      <c r="Z70" t="s">
        <v>57</v>
      </c>
      <c r="AB70" t="s">
        <v>348</v>
      </c>
      <c r="AC70" t="s">
        <v>340</v>
      </c>
      <c r="AD70" t="s">
        <v>69</v>
      </c>
      <c r="AE70" t="s">
        <v>70</v>
      </c>
      <c r="AF70" t="s">
        <v>71</v>
      </c>
      <c r="AG70" t="b">
        <v>0</v>
      </c>
      <c r="AH70" t="b">
        <v>1</v>
      </c>
      <c r="AI70">
        <v>1489</v>
      </c>
      <c r="AJ70">
        <v>1</v>
      </c>
      <c r="AK70">
        <v>1489</v>
      </c>
      <c r="AL70">
        <v>0</v>
      </c>
      <c r="AM70" t="s">
        <v>47</v>
      </c>
      <c r="AN70" t="s">
        <v>68</v>
      </c>
      <c r="AO70" s="1">
        <v>45829.780305706015</v>
      </c>
      <c r="AP70" t="s">
        <v>51</v>
      </c>
      <c r="AQ70" t="s">
        <v>45</v>
      </c>
      <c r="AR70" t="s">
        <v>52</v>
      </c>
      <c r="AT70" t="s">
        <v>53</v>
      </c>
      <c r="AU70" t="s">
        <v>72</v>
      </c>
      <c r="AV70" t="s">
        <v>73</v>
      </c>
    </row>
    <row r="71" spans="1:48" x14ac:dyDescent="0.55000000000000004">
      <c r="A71">
        <v>1</v>
      </c>
      <c r="B71">
        <v>1708</v>
      </c>
      <c r="C71">
        <v>185</v>
      </c>
      <c r="D71" t="s">
        <v>45</v>
      </c>
      <c r="E71" t="s">
        <v>349</v>
      </c>
      <c r="F71" t="s">
        <v>46</v>
      </c>
      <c r="G71" t="b">
        <v>0</v>
      </c>
      <c r="H71" s="1">
        <f>BVW_BTItemLot[[#This Row],[CreatedDateTime]]-TIME(7,0,0)</f>
        <v>45829.454937997689</v>
      </c>
      <c r="I71" s="1">
        <v>45829.746604664353</v>
      </c>
      <c r="J71" t="s">
        <v>114</v>
      </c>
      <c r="K71" t="b">
        <f ca="1">IF(BVW_BTItemLot[[#This Row],[Age]] &gt; 5, TRUE, FALSE)</f>
        <v>0</v>
      </c>
      <c r="L71" s="2">
        <f ca="1">ROUND(NOW()-BVW_BTItemLot[[#This Row],[UpdatedDateTime]],2)</f>
        <v>3.6</v>
      </c>
      <c r="M71" s="1">
        <v>45829.746880011575</v>
      </c>
      <c r="N71" t="s">
        <v>114</v>
      </c>
      <c r="Q71" t="s">
        <v>155</v>
      </c>
      <c r="S71" t="s">
        <v>47</v>
      </c>
      <c r="T71" t="s">
        <v>48</v>
      </c>
      <c r="U71" t="s">
        <v>49</v>
      </c>
      <c r="V71" t="s">
        <v>61</v>
      </c>
      <c r="W71" t="s">
        <v>76</v>
      </c>
      <c r="X71" t="s">
        <v>50</v>
      </c>
      <c r="Y71" t="s">
        <v>77</v>
      </c>
      <c r="Z71" t="s">
        <v>57</v>
      </c>
      <c r="AB71" t="s">
        <v>350</v>
      </c>
      <c r="AC71" t="s">
        <v>340</v>
      </c>
      <c r="AD71" t="s">
        <v>258</v>
      </c>
      <c r="AE71" t="s">
        <v>259</v>
      </c>
      <c r="AF71" t="s">
        <v>260</v>
      </c>
      <c r="AG71" t="b">
        <v>0</v>
      </c>
      <c r="AH71" t="b">
        <v>1</v>
      </c>
      <c r="AI71">
        <v>1708</v>
      </c>
      <c r="AJ71">
        <v>1</v>
      </c>
      <c r="AK71">
        <v>1708</v>
      </c>
      <c r="AL71">
        <v>0</v>
      </c>
      <c r="AM71" t="s">
        <v>47</v>
      </c>
      <c r="AN71" t="s">
        <v>68</v>
      </c>
      <c r="AO71" s="1">
        <v>45829.746604664353</v>
      </c>
      <c r="AP71" t="s">
        <v>51</v>
      </c>
      <c r="AQ71" t="s">
        <v>45</v>
      </c>
      <c r="AR71" t="s">
        <v>52</v>
      </c>
      <c r="AT71" t="s">
        <v>66</v>
      </c>
      <c r="AU71" t="s">
        <v>54</v>
      </c>
      <c r="AV71" t="s">
        <v>74</v>
      </c>
    </row>
    <row r="72" spans="1:48" x14ac:dyDescent="0.55000000000000004">
      <c r="A72">
        <v>1</v>
      </c>
      <c r="B72">
        <v>1371</v>
      </c>
      <c r="C72">
        <v>185</v>
      </c>
      <c r="D72" t="s">
        <v>45</v>
      </c>
      <c r="E72" t="s">
        <v>351</v>
      </c>
      <c r="F72" t="s">
        <v>46</v>
      </c>
      <c r="G72" t="b">
        <v>0</v>
      </c>
      <c r="H72" s="1">
        <f>BVW_BTItemLot[[#This Row],[CreatedDateTime]]-TIME(7,0,0)</f>
        <v>45829.429588310188</v>
      </c>
      <c r="I72" s="1">
        <v>45829.721254976852</v>
      </c>
      <c r="J72" t="s">
        <v>114</v>
      </c>
      <c r="K72" t="b">
        <f ca="1">IF(BVW_BTItemLot[[#This Row],[Age]] &gt; 5, TRUE, FALSE)</f>
        <v>0</v>
      </c>
      <c r="L72" s="2">
        <f ca="1">ROUND(NOW()-BVW_BTItemLot[[#This Row],[UpdatedDateTime]],2)</f>
        <v>3.63</v>
      </c>
      <c r="M72" s="1">
        <v>45829.721548379632</v>
      </c>
      <c r="N72" t="s">
        <v>114</v>
      </c>
      <c r="Q72" t="s">
        <v>290</v>
      </c>
      <c r="S72" t="s">
        <v>47</v>
      </c>
      <c r="T72" t="s">
        <v>48</v>
      </c>
      <c r="U72" t="s">
        <v>49</v>
      </c>
      <c r="V72" t="s">
        <v>61</v>
      </c>
      <c r="W72" t="s">
        <v>78</v>
      </c>
      <c r="X72" t="s">
        <v>50</v>
      </c>
      <c r="Y72" t="s">
        <v>77</v>
      </c>
      <c r="Z72" t="s">
        <v>50</v>
      </c>
      <c r="AB72" t="s">
        <v>352</v>
      </c>
      <c r="AC72" t="s">
        <v>340</v>
      </c>
      <c r="AD72" t="s">
        <v>80</v>
      </c>
      <c r="AE72" t="s">
        <v>81</v>
      </c>
      <c r="AF72" t="s">
        <v>82</v>
      </c>
      <c r="AG72" t="b">
        <v>0</v>
      </c>
      <c r="AH72" t="b">
        <v>1</v>
      </c>
      <c r="AI72">
        <v>1371</v>
      </c>
      <c r="AJ72">
        <v>1</v>
      </c>
      <c r="AK72">
        <v>1371</v>
      </c>
      <c r="AL72">
        <v>0</v>
      </c>
      <c r="AM72" t="s">
        <v>47</v>
      </c>
      <c r="AN72" t="s">
        <v>68</v>
      </c>
      <c r="AO72" s="1">
        <v>45829.721254976852</v>
      </c>
      <c r="AP72" t="s">
        <v>51</v>
      </c>
      <c r="AQ72" t="s">
        <v>45</v>
      </c>
      <c r="AR72" t="s">
        <v>52</v>
      </c>
      <c r="AU72" t="s">
        <v>72</v>
      </c>
      <c r="AV72" t="s">
        <v>73</v>
      </c>
    </row>
    <row r="73" spans="1:48" x14ac:dyDescent="0.55000000000000004">
      <c r="A73">
        <v>1</v>
      </c>
      <c r="B73">
        <v>1473</v>
      </c>
      <c r="C73">
        <v>185</v>
      </c>
      <c r="D73" t="s">
        <v>45</v>
      </c>
      <c r="E73" t="s">
        <v>353</v>
      </c>
      <c r="F73" t="s">
        <v>46</v>
      </c>
      <c r="G73" t="b">
        <v>0</v>
      </c>
      <c r="H73" s="1">
        <f>BVW_BTItemLot[[#This Row],[CreatedDateTime]]-TIME(7,0,0)</f>
        <v>45829.281368321761</v>
      </c>
      <c r="I73" s="1">
        <v>45829.573034988425</v>
      </c>
      <c r="J73" t="s">
        <v>154</v>
      </c>
      <c r="K73" t="b">
        <f ca="1">IF(BVW_BTItemLot[[#This Row],[Age]] &gt; 5, TRUE, FALSE)</f>
        <v>0</v>
      </c>
      <c r="L73" s="2">
        <f ca="1">ROUND(NOW()-BVW_BTItemLot[[#This Row],[UpdatedDateTime]],2)</f>
        <v>3.78</v>
      </c>
      <c r="M73" s="1">
        <v>45829.574381481485</v>
      </c>
      <c r="N73" t="s">
        <v>154</v>
      </c>
      <c r="Q73" t="s">
        <v>301</v>
      </c>
      <c r="S73" t="s">
        <v>47</v>
      </c>
      <c r="T73" t="s">
        <v>48</v>
      </c>
      <c r="U73" t="s">
        <v>49</v>
      </c>
      <c r="V73" t="s">
        <v>61</v>
      </c>
      <c r="W73" t="s">
        <v>78</v>
      </c>
      <c r="X73" t="s">
        <v>50</v>
      </c>
      <c r="Y73" t="s">
        <v>77</v>
      </c>
      <c r="Z73" t="s">
        <v>50</v>
      </c>
      <c r="AB73" t="s">
        <v>354</v>
      </c>
      <c r="AC73" t="s">
        <v>355</v>
      </c>
      <c r="AD73" t="s">
        <v>124</v>
      </c>
      <c r="AE73" t="s">
        <v>125</v>
      </c>
      <c r="AF73" t="s">
        <v>126</v>
      </c>
      <c r="AG73" t="b">
        <v>0</v>
      </c>
      <c r="AH73" t="b">
        <v>1</v>
      </c>
      <c r="AI73">
        <v>1155</v>
      </c>
      <c r="AJ73">
        <v>1</v>
      </c>
      <c r="AK73">
        <v>1155</v>
      </c>
      <c r="AL73">
        <v>0</v>
      </c>
      <c r="AM73" t="s">
        <v>47</v>
      </c>
      <c r="AN73" t="s">
        <v>194</v>
      </c>
      <c r="AO73" s="1">
        <v>45829.563991932868</v>
      </c>
      <c r="AP73" t="s">
        <v>51</v>
      </c>
      <c r="AQ73" t="s">
        <v>45</v>
      </c>
      <c r="AR73" t="s">
        <v>52</v>
      </c>
      <c r="AS73" t="s">
        <v>79</v>
      </c>
      <c r="AU73" t="s">
        <v>54</v>
      </c>
    </row>
    <row r="74" spans="1:48" x14ac:dyDescent="0.55000000000000004">
      <c r="A74">
        <v>1</v>
      </c>
      <c r="B74">
        <v>1155</v>
      </c>
      <c r="C74">
        <v>185</v>
      </c>
      <c r="D74" t="s">
        <v>45</v>
      </c>
      <c r="E74" t="s">
        <v>356</v>
      </c>
      <c r="F74" t="s">
        <v>46</v>
      </c>
      <c r="G74" t="b">
        <v>0</v>
      </c>
      <c r="H74" s="1">
        <f>BVW_BTItemLot[[#This Row],[CreatedDateTime]]-TIME(7,0,0)</f>
        <v>45829.272325266204</v>
      </c>
      <c r="I74" s="1">
        <v>45829.563991932868</v>
      </c>
      <c r="J74" t="s">
        <v>154</v>
      </c>
      <c r="K74" t="b">
        <f ca="1">IF(BVW_BTItemLot[[#This Row],[Age]] &gt; 5, TRUE, FALSE)</f>
        <v>0</v>
      </c>
      <c r="L74" s="2">
        <f ca="1">ROUND(NOW()-BVW_BTItemLot[[#This Row],[UpdatedDateTime]],2)</f>
        <v>3.78</v>
      </c>
      <c r="M74" s="1">
        <v>45829.568404664351</v>
      </c>
      <c r="N74" t="s">
        <v>154</v>
      </c>
      <c r="Q74" t="s">
        <v>283</v>
      </c>
      <c r="S74" t="s">
        <v>47</v>
      </c>
      <c r="T74" t="s">
        <v>48</v>
      </c>
      <c r="U74" t="s">
        <v>49</v>
      </c>
      <c r="V74" t="s">
        <v>61</v>
      </c>
      <c r="W74" t="s">
        <v>78</v>
      </c>
      <c r="X74" t="s">
        <v>50</v>
      </c>
      <c r="Y74" t="s">
        <v>77</v>
      </c>
      <c r="Z74" t="s">
        <v>50</v>
      </c>
      <c r="AB74" t="s">
        <v>354</v>
      </c>
      <c r="AC74" t="s">
        <v>355</v>
      </c>
      <c r="AD74" t="s">
        <v>124</v>
      </c>
      <c r="AE74" t="s">
        <v>125</v>
      </c>
      <c r="AF74" t="s">
        <v>126</v>
      </c>
      <c r="AG74" t="b">
        <v>0</v>
      </c>
      <c r="AH74" t="b">
        <v>1</v>
      </c>
      <c r="AI74">
        <v>1155</v>
      </c>
      <c r="AJ74">
        <v>1</v>
      </c>
      <c r="AK74">
        <v>1155</v>
      </c>
      <c r="AL74">
        <v>0</v>
      </c>
      <c r="AM74" t="s">
        <v>47</v>
      </c>
      <c r="AN74" t="s">
        <v>194</v>
      </c>
      <c r="AO74" s="1">
        <v>45829.563991932868</v>
      </c>
      <c r="AP74" t="s">
        <v>51</v>
      </c>
      <c r="AQ74" t="s">
        <v>45</v>
      </c>
      <c r="AR74" t="s">
        <v>52</v>
      </c>
      <c r="AS74" t="s">
        <v>79</v>
      </c>
      <c r="AU74" t="s">
        <v>54</v>
      </c>
    </row>
    <row r="75" spans="1:48" x14ac:dyDescent="0.55000000000000004">
      <c r="A75">
        <v>1</v>
      </c>
      <c r="B75">
        <v>1337</v>
      </c>
      <c r="C75">
        <v>185</v>
      </c>
      <c r="D75" t="s">
        <v>45</v>
      </c>
      <c r="E75" t="s">
        <v>357</v>
      </c>
      <c r="F75" t="s">
        <v>46</v>
      </c>
      <c r="G75" t="b">
        <v>0</v>
      </c>
      <c r="H75" s="1">
        <f>BVW_BTItemLot[[#This Row],[CreatedDateTime]]-TIME(7,0,0)</f>
        <v>45829.166823842592</v>
      </c>
      <c r="I75" s="1">
        <v>45829.458490509256</v>
      </c>
      <c r="J75" t="s">
        <v>88</v>
      </c>
      <c r="K75" t="b">
        <f ca="1">IF(BVW_BTItemLot[[#This Row],[Age]] &gt; 5, TRUE, FALSE)</f>
        <v>0</v>
      </c>
      <c r="L75" s="2">
        <f ca="1">ROUND(NOW()-BVW_BTItemLot[[#This Row],[UpdatedDateTime]],2)</f>
        <v>3.89</v>
      </c>
      <c r="M75" s="1">
        <v>45829.460489502315</v>
      </c>
      <c r="N75" t="s">
        <v>88</v>
      </c>
      <c r="Q75" t="s">
        <v>286</v>
      </c>
      <c r="S75" t="s">
        <v>47</v>
      </c>
      <c r="T75" t="s">
        <v>48</v>
      </c>
      <c r="U75" t="s">
        <v>49</v>
      </c>
      <c r="V75" t="s">
        <v>61</v>
      </c>
      <c r="W75" t="s">
        <v>76</v>
      </c>
      <c r="X75" t="s">
        <v>50</v>
      </c>
      <c r="Y75" t="s">
        <v>77</v>
      </c>
      <c r="Z75" t="s">
        <v>57</v>
      </c>
      <c r="AB75" t="s">
        <v>358</v>
      </c>
      <c r="AC75" t="s">
        <v>340</v>
      </c>
      <c r="AD75" t="s">
        <v>165</v>
      </c>
      <c r="AE75" t="s">
        <v>166</v>
      </c>
      <c r="AF75" t="s">
        <v>167</v>
      </c>
      <c r="AG75" t="b">
        <v>0</v>
      </c>
      <c r="AH75" t="b">
        <v>1</v>
      </c>
      <c r="AI75">
        <v>1337</v>
      </c>
      <c r="AJ75">
        <v>1</v>
      </c>
      <c r="AK75">
        <v>1337</v>
      </c>
      <c r="AL75">
        <v>0</v>
      </c>
      <c r="AM75" t="s">
        <v>47</v>
      </c>
      <c r="AN75" t="s">
        <v>68</v>
      </c>
      <c r="AO75" s="1">
        <v>45829.458490509256</v>
      </c>
      <c r="AP75" t="s">
        <v>51</v>
      </c>
      <c r="AQ75" t="s">
        <v>45</v>
      </c>
      <c r="AR75" t="s">
        <v>52</v>
      </c>
      <c r="AT75" t="s">
        <v>66</v>
      </c>
      <c r="AU75" t="s">
        <v>54</v>
      </c>
      <c r="AV75" t="s">
        <v>151</v>
      </c>
    </row>
    <row r="76" spans="1:48" x14ac:dyDescent="0.55000000000000004">
      <c r="A76">
        <v>1</v>
      </c>
      <c r="B76">
        <v>1359</v>
      </c>
      <c r="C76">
        <v>185</v>
      </c>
      <c r="D76" t="s">
        <v>45</v>
      </c>
      <c r="E76" t="s">
        <v>360</v>
      </c>
      <c r="F76" t="s">
        <v>46</v>
      </c>
      <c r="G76" t="b">
        <v>0</v>
      </c>
      <c r="H76" s="1">
        <f>BVW_BTItemLot[[#This Row],[CreatedDateTime]]-TIME(7,0,0)</f>
        <v>45828.754458599542</v>
      </c>
      <c r="I76" s="1">
        <v>45829.046125266206</v>
      </c>
      <c r="J76" t="s">
        <v>103</v>
      </c>
      <c r="K76" t="b">
        <f ca="1">IF(BVW_BTItemLot[[#This Row],[Age]] &gt; 5, TRUE, FALSE)</f>
        <v>0</v>
      </c>
      <c r="L76" s="2">
        <f ca="1">ROUND(NOW()-BVW_BTItemLot[[#This Row],[UpdatedDateTime]],2)</f>
        <v>4.3099999999999996</v>
      </c>
      <c r="M76" s="1">
        <v>45829.0465596875</v>
      </c>
      <c r="N76" t="s">
        <v>103</v>
      </c>
      <c r="Q76" t="s">
        <v>289</v>
      </c>
      <c r="S76" t="s">
        <v>47</v>
      </c>
      <c r="T76" t="s">
        <v>48</v>
      </c>
      <c r="U76" t="s">
        <v>49</v>
      </c>
      <c r="V76" t="s">
        <v>61</v>
      </c>
      <c r="W76" t="s">
        <v>76</v>
      </c>
      <c r="X76" t="s">
        <v>50</v>
      </c>
      <c r="Y76" t="s">
        <v>77</v>
      </c>
      <c r="Z76" t="s">
        <v>57</v>
      </c>
      <c r="AB76" t="s">
        <v>361</v>
      </c>
      <c r="AC76" t="s">
        <v>359</v>
      </c>
      <c r="AD76" t="s">
        <v>69</v>
      </c>
      <c r="AE76" t="s">
        <v>70</v>
      </c>
      <c r="AF76" t="s">
        <v>71</v>
      </c>
      <c r="AG76" t="b">
        <v>0</v>
      </c>
      <c r="AH76" t="b">
        <v>1</v>
      </c>
      <c r="AI76">
        <v>1359</v>
      </c>
      <c r="AJ76">
        <v>1</v>
      </c>
      <c r="AK76">
        <v>1359</v>
      </c>
      <c r="AL76">
        <v>0</v>
      </c>
      <c r="AM76" t="s">
        <v>47</v>
      </c>
      <c r="AN76" t="s">
        <v>68</v>
      </c>
      <c r="AO76" s="1">
        <v>45829.046125266206</v>
      </c>
      <c r="AP76" t="s">
        <v>51</v>
      </c>
      <c r="AQ76" t="s">
        <v>45</v>
      </c>
      <c r="AR76" t="s">
        <v>52</v>
      </c>
      <c r="AT76" t="s">
        <v>53</v>
      </c>
      <c r="AU76" t="s">
        <v>72</v>
      </c>
      <c r="AV76" t="s">
        <v>73</v>
      </c>
    </row>
    <row r="77" spans="1:48" x14ac:dyDescent="0.55000000000000004">
      <c r="A77">
        <v>1</v>
      </c>
      <c r="B77">
        <v>1409</v>
      </c>
      <c r="C77">
        <v>185</v>
      </c>
      <c r="D77" t="s">
        <v>45</v>
      </c>
      <c r="E77" t="s">
        <v>362</v>
      </c>
      <c r="F77" t="s">
        <v>46</v>
      </c>
      <c r="G77" t="b">
        <v>0</v>
      </c>
      <c r="H77" s="1">
        <f>BVW_BTItemLot[[#This Row],[CreatedDateTime]]-TIME(7,0,0)</f>
        <v>45828.58122936343</v>
      </c>
      <c r="I77" s="1">
        <v>45828.872896030094</v>
      </c>
      <c r="J77" t="s">
        <v>114</v>
      </c>
      <c r="K77" t="b">
        <f ca="1">IF(BVW_BTItemLot[[#This Row],[Age]] &gt; 5, TRUE, FALSE)</f>
        <v>0</v>
      </c>
      <c r="L77" s="2">
        <f ca="1">ROUND(NOW()-BVW_BTItemLot[[#This Row],[UpdatedDateTime]],2)</f>
        <v>4.4800000000000004</v>
      </c>
      <c r="M77" s="1">
        <v>45828.873175578701</v>
      </c>
      <c r="N77" t="s">
        <v>114</v>
      </c>
      <c r="Q77" t="s">
        <v>363</v>
      </c>
      <c r="S77" t="s">
        <v>47</v>
      </c>
      <c r="T77" t="s">
        <v>48</v>
      </c>
      <c r="U77" t="s">
        <v>49</v>
      </c>
      <c r="V77" t="s">
        <v>61</v>
      </c>
      <c r="W77" t="s">
        <v>76</v>
      </c>
      <c r="X77" t="s">
        <v>50</v>
      </c>
      <c r="Y77" t="s">
        <v>77</v>
      </c>
      <c r="Z77" t="s">
        <v>57</v>
      </c>
      <c r="AB77" t="s">
        <v>364</v>
      </c>
      <c r="AC77" t="s">
        <v>359</v>
      </c>
      <c r="AD77" t="s">
        <v>83</v>
      </c>
      <c r="AE77" t="s">
        <v>84</v>
      </c>
      <c r="AF77" t="s">
        <v>85</v>
      </c>
      <c r="AG77" t="b">
        <v>0</v>
      </c>
      <c r="AH77" t="b">
        <v>1</v>
      </c>
      <c r="AI77">
        <v>1409</v>
      </c>
      <c r="AJ77">
        <v>1</v>
      </c>
      <c r="AK77">
        <v>1409</v>
      </c>
      <c r="AL77">
        <v>0</v>
      </c>
      <c r="AM77" t="s">
        <v>47</v>
      </c>
      <c r="AN77" t="s">
        <v>68</v>
      </c>
      <c r="AO77" s="1">
        <v>45828.872896030094</v>
      </c>
      <c r="AP77" t="s">
        <v>51</v>
      </c>
      <c r="AQ77" t="s">
        <v>45</v>
      </c>
      <c r="AR77" t="s">
        <v>52</v>
      </c>
      <c r="AT77" t="s">
        <v>53</v>
      </c>
      <c r="AU77" t="s">
        <v>72</v>
      </c>
      <c r="AV77" t="s">
        <v>73</v>
      </c>
    </row>
    <row r="78" spans="1:48" x14ac:dyDescent="0.55000000000000004">
      <c r="A78">
        <v>1</v>
      </c>
      <c r="B78">
        <v>1305</v>
      </c>
      <c r="C78">
        <v>185</v>
      </c>
      <c r="D78" t="s">
        <v>45</v>
      </c>
      <c r="E78" t="s">
        <v>365</v>
      </c>
      <c r="F78" t="s">
        <v>46</v>
      </c>
      <c r="G78" t="b">
        <v>0</v>
      </c>
      <c r="H78" s="1">
        <f>BVW_BTItemLot[[#This Row],[CreatedDateTime]]-TIME(7,0,0)</f>
        <v>45828.574198761577</v>
      </c>
      <c r="I78" s="1">
        <v>45828.865865428241</v>
      </c>
      <c r="J78" t="s">
        <v>114</v>
      </c>
      <c r="K78" t="b">
        <f ca="1">IF(BVW_BTItemLot[[#This Row],[Age]] &gt; 5, TRUE, FALSE)</f>
        <v>0</v>
      </c>
      <c r="L78" s="2">
        <f ca="1">ROUND(NOW()-BVW_BTItemLot[[#This Row],[UpdatedDateTime]],2)</f>
        <v>4.49</v>
      </c>
      <c r="M78" s="1">
        <v>45828.866137731478</v>
      </c>
      <c r="N78" t="s">
        <v>114</v>
      </c>
      <c r="Q78" t="s">
        <v>294</v>
      </c>
      <c r="S78" t="s">
        <v>47</v>
      </c>
      <c r="T78" t="s">
        <v>48</v>
      </c>
      <c r="U78" t="s">
        <v>49</v>
      </c>
      <c r="V78" t="s">
        <v>61</v>
      </c>
      <c r="W78" t="s">
        <v>76</v>
      </c>
      <c r="X78" t="s">
        <v>50</v>
      </c>
      <c r="Y78" t="s">
        <v>77</v>
      </c>
      <c r="Z78" t="s">
        <v>57</v>
      </c>
      <c r="AB78" t="s">
        <v>366</v>
      </c>
      <c r="AC78" t="s">
        <v>359</v>
      </c>
      <c r="AD78" t="s">
        <v>69</v>
      </c>
      <c r="AE78" t="s">
        <v>70</v>
      </c>
      <c r="AF78" t="s">
        <v>71</v>
      </c>
      <c r="AG78" t="b">
        <v>0</v>
      </c>
      <c r="AH78" t="b">
        <v>1</v>
      </c>
      <c r="AI78">
        <v>1305</v>
      </c>
      <c r="AJ78">
        <v>1</v>
      </c>
      <c r="AK78">
        <v>1305</v>
      </c>
      <c r="AL78">
        <v>0</v>
      </c>
      <c r="AM78" t="s">
        <v>47</v>
      </c>
      <c r="AN78" t="s">
        <v>68</v>
      </c>
      <c r="AO78" s="1">
        <v>45828.865865428241</v>
      </c>
      <c r="AP78" t="s">
        <v>51</v>
      </c>
      <c r="AQ78" t="s">
        <v>45</v>
      </c>
      <c r="AR78" t="s">
        <v>52</v>
      </c>
      <c r="AT78" t="s">
        <v>53</v>
      </c>
      <c r="AU78" t="s">
        <v>72</v>
      </c>
      <c r="AV78" t="s">
        <v>73</v>
      </c>
    </row>
    <row r="79" spans="1:48" x14ac:dyDescent="0.55000000000000004">
      <c r="A79">
        <v>1</v>
      </c>
      <c r="B79">
        <v>1637</v>
      </c>
      <c r="C79">
        <v>185</v>
      </c>
      <c r="D79" t="s">
        <v>45</v>
      </c>
      <c r="E79" t="s">
        <v>302</v>
      </c>
      <c r="F79" t="s">
        <v>46</v>
      </c>
      <c r="G79" t="b">
        <v>0</v>
      </c>
      <c r="H79" s="1">
        <f>BVW_BTItemLot[[#This Row],[CreatedDateTime]]-TIME(7,0,0)</f>
        <v>45827.406052430561</v>
      </c>
      <c r="I79" s="1">
        <v>45827.697719097225</v>
      </c>
      <c r="J79" t="s">
        <v>114</v>
      </c>
      <c r="K79" t="b">
        <f ca="1">IF(BVW_BTItemLot[[#This Row],[Age]] &gt; 5, TRUE, FALSE)</f>
        <v>1</v>
      </c>
      <c r="L79" s="2">
        <f ca="1">ROUND(NOW()-BVW_BTItemLot[[#This Row],[UpdatedDateTime]],2)</f>
        <v>5.65</v>
      </c>
      <c r="M79" s="1">
        <v>45827.698108020835</v>
      </c>
      <c r="N79" t="s">
        <v>114</v>
      </c>
      <c r="Q79" t="s">
        <v>113</v>
      </c>
      <c r="S79" t="s">
        <v>47</v>
      </c>
      <c r="T79" t="s">
        <v>48</v>
      </c>
      <c r="U79" t="s">
        <v>49</v>
      </c>
      <c r="V79" t="s">
        <v>61</v>
      </c>
      <c r="W79" t="s">
        <v>76</v>
      </c>
      <c r="X79" t="s">
        <v>50</v>
      </c>
      <c r="Y79" t="s">
        <v>77</v>
      </c>
      <c r="Z79" t="s">
        <v>57</v>
      </c>
      <c r="AB79" t="s">
        <v>303</v>
      </c>
      <c r="AC79" t="s">
        <v>292</v>
      </c>
      <c r="AD79" t="s">
        <v>178</v>
      </c>
      <c r="AE79" t="s">
        <v>179</v>
      </c>
      <c r="AF79" t="s">
        <v>180</v>
      </c>
      <c r="AG79" t="b">
        <v>0</v>
      </c>
      <c r="AH79" t="b">
        <v>1</v>
      </c>
      <c r="AI79">
        <v>1637</v>
      </c>
      <c r="AJ79">
        <v>1</v>
      </c>
      <c r="AK79">
        <v>1637</v>
      </c>
      <c r="AL79">
        <v>0</v>
      </c>
      <c r="AM79" t="s">
        <v>47</v>
      </c>
      <c r="AN79" t="s">
        <v>68</v>
      </c>
      <c r="AO79" s="1">
        <v>45827.697719097225</v>
      </c>
      <c r="AP79" t="s">
        <v>51</v>
      </c>
      <c r="AQ79" t="s">
        <v>45</v>
      </c>
      <c r="AR79" t="s">
        <v>52</v>
      </c>
      <c r="AT79" t="s">
        <v>53</v>
      </c>
      <c r="AU79" t="s">
        <v>54</v>
      </c>
      <c r="AV79" t="s">
        <v>74</v>
      </c>
    </row>
    <row r="80" spans="1:48" x14ac:dyDescent="0.55000000000000004">
      <c r="A80">
        <v>1</v>
      </c>
      <c r="B80">
        <v>1461</v>
      </c>
      <c r="C80">
        <v>185</v>
      </c>
      <c r="D80" t="s">
        <v>45</v>
      </c>
      <c r="E80" t="s">
        <v>304</v>
      </c>
      <c r="F80" t="s">
        <v>46</v>
      </c>
      <c r="G80" t="b">
        <v>0</v>
      </c>
      <c r="H80" s="1">
        <f>BVW_BTItemLot[[#This Row],[CreatedDateTime]]-TIME(7,0,0)</f>
        <v>45827.401254247685</v>
      </c>
      <c r="I80" s="1">
        <v>45827.692920914349</v>
      </c>
      <c r="J80" t="s">
        <v>114</v>
      </c>
      <c r="K80" t="b">
        <f ca="1">IF(BVW_BTItemLot[[#This Row],[Age]] &gt; 5, TRUE, FALSE)</f>
        <v>1</v>
      </c>
      <c r="L80" s="2">
        <f ca="1">ROUND(NOW()-BVW_BTItemLot[[#This Row],[UpdatedDateTime]],2)</f>
        <v>5.66</v>
      </c>
      <c r="M80" s="1">
        <v>45827.693317442128</v>
      </c>
      <c r="N80" t="s">
        <v>114</v>
      </c>
      <c r="Q80" t="s">
        <v>285</v>
      </c>
      <c r="S80" t="s">
        <v>47</v>
      </c>
      <c r="T80" t="s">
        <v>48</v>
      </c>
      <c r="U80" t="s">
        <v>49</v>
      </c>
      <c r="V80" t="s">
        <v>61</v>
      </c>
      <c r="W80" t="s">
        <v>76</v>
      </c>
      <c r="X80" t="s">
        <v>50</v>
      </c>
      <c r="Y80" t="s">
        <v>77</v>
      </c>
      <c r="Z80" t="s">
        <v>57</v>
      </c>
      <c r="AB80" t="s">
        <v>305</v>
      </c>
      <c r="AC80" t="s">
        <v>292</v>
      </c>
      <c r="AD80" t="s">
        <v>69</v>
      </c>
      <c r="AE80" t="s">
        <v>70</v>
      </c>
      <c r="AF80" t="s">
        <v>71</v>
      </c>
      <c r="AG80" t="b">
        <v>0</v>
      </c>
      <c r="AH80" t="b">
        <v>1</v>
      </c>
      <c r="AI80">
        <v>1461</v>
      </c>
      <c r="AJ80">
        <v>1</v>
      </c>
      <c r="AK80">
        <v>1461</v>
      </c>
      <c r="AL80">
        <v>0</v>
      </c>
      <c r="AM80" t="s">
        <v>47</v>
      </c>
      <c r="AN80" t="s">
        <v>68</v>
      </c>
      <c r="AO80" s="1">
        <v>45827.692920914349</v>
      </c>
      <c r="AP80" t="s">
        <v>51</v>
      </c>
      <c r="AQ80" t="s">
        <v>45</v>
      </c>
      <c r="AR80" t="s">
        <v>52</v>
      </c>
      <c r="AT80" t="s">
        <v>53</v>
      </c>
      <c r="AU80" t="s">
        <v>72</v>
      </c>
      <c r="AV80" t="s">
        <v>73</v>
      </c>
    </row>
    <row r="81" spans="1:48" x14ac:dyDescent="0.55000000000000004">
      <c r="A81">
        <v>1</v>
      </c>
      <c r="B81">
        <v>941</v>
      </c>
      <c r="C81">
        <v>500</v>
      </c>
      <c r="D81" t="s">
        <v>45</v>
      </c>
      <c r="E81" t="s">
        <v>307</v>
      </c>
      <c r="F81" t="s">
        <v>46</v>
      </c>
      <c r="G81" t="b">
        <v>0</v>
      </c>
      <c r="H81" s="1">
        <f>BVW_BTItemLot[[#This Row],[CreatedDateTime]]-TIME(7,0,0)</f>
        <v>45825.560525960653</v>
      </c>
      <c r="I81" s="1">
        <v>45825.852192627317</v>
      </c>
      <c r="J81" t="s">
        <v>86</v>
      </c>
      <c r="K81" t="b">
        <f ca="1">IF(BVW_BTItemLot[[#This Row],[Age]] &gt; 5, TRUE, FALSE)</f>
        <v>1</v>
      </c>
      <c r="L81" s="2">
        <f ca="1">ROUND(NOW()-BVW_BTItemLot[[#This Row],[UpdatedDateTime]],2)</f>
        <v>7.5</v>
      </c>
      <c r="M81" s="1">
        <v>45825.852481168979</v>
      </c>
      <c r="N81" t="s">
        <v>86</v>
      </c>
      <c r="Q81" t="s">
        <v>308</v>
      </c>
      <c r="S81" t="s">
        <v>47</v>
      </c>
      <c r="T81" t="s">
        <v>48</v>
      </c>
      <c r="U81" t="s">
        <v>49</v>
      </c>
      <c r="V81" t="s">
        <v>49</v>
      </c>
      <c r="W81" t="s">
        <v>58</v>
      </c>
      <c r="X81" t="s">
        <v>50</v>
      </c>
      <c r="Y81" t="s">
        <v>59</v>
      </c>
      <c r="AB81" t="s">
        <v>309</v>
      </c>
      <c r="AC81" t="s">
        <v>310</v>
      </c>
      <c r="AD81" t="s">
        <v>311</v>
      </c>
      <c r="AE81" t="s">
        <v>312</v>
      </c>
      <c r="AF81" t="s">
        <v>313</v>
      </c>
      <c r="AG81" t="b">
        <v>0</v>
      </c>
      <c r="AH81" t="b">
        <v>1</v>
      </c>
      <c r="AI81">
        <v>941</v>
      </c>
      <c r="AJ81">
        <v>1</v>
      </c>
      <c r="AK81">
        <v>941</v>
      </c>
      <c r="AL81">
        <v>0</v>
      </c>
      <c r="AM81" t="s">
        <v>47</v>
      </c>
      <c r="AN81" t="s">
        <v>60</v>
      </c>
      <c r="AO81" s="1">
        <v>45825.852192627317</v>
      </c>
      <c r="AP81" t="s">
        <v>51</v>
      </c>
      <c r="AQ81" t="s">
        <v>45</v>
      </c>
      <c r="AR81" t="s">
        <v>52</v>
      </c>
      <c r="AT81" t="s">
        <v>66</v>
      </c>
      <c r="AU81" t="s">
        <v>54</v>
      </c>
      <c r="AV81" t="s">
        <v>74</v>
      </c>
    </row>
    <row r="82" spans="1:48" x14ac:dyDescent="0.55000000000000004">
      <c r="A82">
        <v>1</v>
      </c>
      <c r="B82">
        <v>1385</v>
      </c>
      <c r="C82">
        <v>185</v>
      </c>
      <c r="D82" t="s">
        <v>45</v>
      </c>
      <c r="E82" t="s">
        <v>314</v>
      </c>
      <c r="F82" t="s">
        <v>46</v>
      </c>
      <c r="G82" t="b">
        <v>0</v>
      </c>
      <c r="H82" s="1">
        <f>BVW_BTItemLot[[#This Row],[CreatedDateTime]]-TIME(7,0,0)</f>
        <v>45825.436712696763</v>
      </c>
      <c r="I82" s="1">
        <v>45825.728379363427</v>
      </c>
      <c r="J82" t="s">
        <v>114</v>
      </c>
      <c r="K82" t="b">
        <f ca="1">IF(BVW_BTItemLot[[#This Row],[Age]] &gt; 5, TRUE, FALSE)</f>
        <v>1</v>
      </c>
      <c r="L82" s="2">
        <f ca="1">ROUND(NOW()-BVW_BTItemLot[[#This Row],[UpdatedDateTime]],2)</f>
        <v>7.62</v>
      </c>
      <c r="M82" s="1">
        <v>45825.729128703701</v>
      </c>
      <c r="N82" t="s">
        <v>114</v>
      </c>
      <c r="Q82" t="s">
        <v>315</v>
      </c>
      <c r="S82" t="s">
        <v>47</v>
      </c>
      <c r="T82" t="s">
        <v>48</v>
      </c>
      <c r="U82" t="s">
        <v>49</v>
      </c>
      <c r="V82" t="s">
        <v>61</v>
      </c>
      <c r="W82" t="s">
        <v>76</v>
      </c>
      <c r="X82" t="s">
        <v>50</v>
      </c>
      <c r="Y82" t="s">
        <v>77</v>
      </c>
      <c r="Z82" t="s">
        <v>57</v>
      </c>
      <c r="AB82" t="s">
        <v>316</v>
      </c>
      <c r="AC82" t="s">
        <v>306</v>
      </c>
      <c r="AD82" t="s">
        <v>83</v>
      </c>
      <c r="AE82" t="s">
        <v>84</v>
      </c>
      <c r="AF82" t="s">
        <v>85</v>
      </c>
      <c r="AG82" t="b">
        <v>0</v>
      </c>
      <c r="AH82" t="b">
        <v>1</v>
      </c>
      <c r="AI82">
        <v>1385</v>
      </c>
      <c r="AJ82">
        <v>1</v>
      </c>
      <c r="AK82">
        <v>1385</v>
      </c>
      <c r="AL82">
        <v>0</v>
      </c>
      <c r="AM82" t="s">
        <v>47</v>
      </c>
      <c r="AN82" t="s">
        <v>68</v>
      </c>
      <c r="AO82" s="1">
        <v>45825.728379363427</v>
      </c>
      <c r="AP82" t="s">
        <v>51</v>
      </c>
      <c r="AQ82" t="s">
        <v>45</v>
      </c>
      <c r="AR82" t="s">
        <v>52</v>
      </c>
      <c r="AT82" t="s">
        <v>53</v>
      </c>
      <c r="AU82" t="s">
        <v>72</v>
      </c>
      <c r="AV82" t="s">
        <v>73</v>
      </c>
    </row>
    <row r="83" spans="1:48" x14ac:dyDescent="0.55000000000000004">
      <c r="A83">
        <v>1</v>
      </c>
      <c r="B83">
        <v>1317</v>
      </c>
      <c r="C83">
        <v>185</v>
      </c>
      <c r="D83" t="s">
        <v>45</v>
      </c>
      <c r="E83" t="s">
        <v>287</v>
      </c>
      <c r="F83" t="s">
        <v>46</v>
      </c>
      <c r="G83" t="b">
        <v>0</v>
      </c>
      <c r="H83" s="1">
        <f>BVW_BTItemLot[[#This Row],[CreatedDateTime]]-TIME(7,0,0)</f>
        <v>45824.482597766204</v>
      </c>
      <c r="I83" s="1">
        <v>45824.774264432868</v>
      </c>
      <c r="J83" t="s">
        <v>114</v>
      </c>
      <c r="K83" t="b">
        <f ca="1">IF(BVW_BTItemLot[[#This Row],[Age]] &gt; 5, TRUE, FALSE)</f>
        <v>1</v>
      </c>
      <c r="L83" s="2">
        <f ca="1">ROUND(NOW()-BVW_BTItemLot[[#This Row],[UpdatedDateTime]],2)</f>
        <v>8.58</v>
      </c>
      <c r="M83" s="1">
        <v>45824.775047141207</v>
      </c>
      <c r="N83" t="s">
        <v>114</v>
      </c>
      <c r="Q83" t="s">
        <v>210</v>
      </c>
      <c r="S83" t="s">
        <v>47</v>
      </c>
      <c r="T83" t="s">
        <v>48</v>
      </c>
      <c r="U83" t="s">
        <v>49</v>
      </c>
      <c r="V83" t="s">
        <v>61</v>
      </c>
      <c r="W83" t="s">
        <v>78</v>
      </c>
      <c r="X83" t="s">
        <v>50</v>
      </c>
      <c r="Y83" t="s">
        <v>77</v>
      </c>
      <c r="Z83" t="s">
        <v>50</v>
      </c>
      <c r="AB83" t="s">
        <v>288</v>
      </c>
      <c r="AC83" t="s">
        <v>281</v>
      </c>
      <c r="AD83" t="s">
        <v>80</v>
      </c>
      <c r="AE83" t="s">
        <v>81</v>
      </c>
      <c r="AF83" t="s">
        <v>82</v>
      </c>
      <c r="AG83" t="b">
        <v>0</v>
      </c>
      <c r="AH83" t="b">
        <v>1</v>
      </c>
      <c r="AI83">
        <v>1317</v>
      </c>
      <c r="AJ83">
        <v>1</v>
      </c>
      <c r="AK83">
        <v>1317</v>
      </c>
      <c r="AL83">
        <v>0</v>
      </c>
      <c r="AM83" t="s">
        <v>47</v>
      </c>
      <c r="AN83" t="s">
        <v>68</v>
      </c>
      <c r="AO83" s="1">
        <v>45824.774264432868</v>
      </c>
      <c r="AP83" t="s">
        <v>51</v>
      </c>
      <c r="AQ83" t="s">
        <v>45</v>
      </c>
      <c r="AR83" t="s">
        <v>52</v>
      </c>
      <c r="AU83" t="s">
        <v>72</v>
      </c>
      <c r="AV83" t="s">
        <v>73</v>
      </c>
    </row>
    <row r="84" spans="1:48" x14ac:dyDescent="0.55000000000000004">
      <c r="A84">
        <v>1</v>
      </c>
      <c r="B84">
        <v>1474</v>
      </c>
      <c r="C84">
        <v>185</v>
      </c>
      <c r="D84" t="s">
        <v>45</v>
      </c>
      <c r="E84" t="s">
        <v>252</v>
      </c>
      <c r="F84" t="s">
        <v>46</v>
      </c>
      <c r="G84" t="b">
        <v>0</v>
      </c>
      <c r="H84" s="1">
        <f>BVW_BTItemLot[[#This Row],[CreatedDateTime]]-TIME(7,0,0)</f>
        <v>45821.757643171302</v>
      </c>
      <c r="I84" s="1">
        <v>45822.049309837967</v>
      </c>
      <c r="J84" t="s">
        <v>103</v>
      </c>
      <c r="K84" t="b">
        <f ca="1">IF(BVW_BTItemLot[[#This Row],[Age]] &gt; 5, TRUE, FALSE)</f>
        <v>1</v>
      </c>
      <c r="L84" s="2">
        <f ca="1">ROUND(NOW()-BVW_BTItemLot[[#This Row],[UpdatedDateTime]],2)</f>
        <v>11.3</v>
      </c>
      <c r="M84" s="1">
        <v>45822.049767708333</v>
      </c>
      <c r="N84" t="s">
        <v>103</v>
      </c>
      <c r="Q84" t="s">
        <v>253</v>
      </c>
      <c r="S84" t="s">
        <v>47</v>
      </c>
      <c r="T84" t="s">
        <v>48</v>
      </c>
      <c r="U84" t="s">
        <v>49</v>
      </c>
      <c r="V84" t="s">
        <v>61</v>
      </c>
      <c r="W84" t="s">
        <v>76</v>
      </c>
      <c r="X84" t="s">
        <v>50</v>
      </c>
      <c r="Y84" t="s">
        <v>77</v>
      </c>
      <c r="Z84" t="s">
        <v>57</v>
      </c>
      <c r="AB84" t="s">
        <v>254</v>
      </c>
      <c r="AC84" t="s">
        <v>247</v>
      </c>
      <c r="AD84" t="s">
        <v>69</v>
      </c>
      <c r="AE84" t="s">
        <v>70</v>
      </c>
      <c r="AF84" t="s">
        <v>71</v>
      </c>
      <c r="AG84" t="b">
        <v>0</v>
      </c>
      <c r="AH84" t="b">
        <v>1</v>
      </c>
      <c r="AI84">
        <v>1474</v>
      </c>
      <c r="AJ84">
        <v>1</v>
      </c>
      <c r="AK84">
        <v>1474</v>
      </c>
      <c r="AL84">
        <v>0</v>
      </c>
      <c r="AM84" t="s">
        <v>47</v>
      </c>
      <c r="AN84" t="s">
        <v>68</v>
      </c>
      <c r="AO84" s="1">
        <v>45822.049309837967</v>
      </c>
      <c r="AP84" t="s">
        <v>51</v>
      </c>
      <c r="AQ84" t="s">
        <v>45</v>
      </c>
      <c r="AR84" t="s">
        <v>52</v>
      </c>
      <c r="AT84" t="s">
        <v>53</v>
      </c>
      <c r="AU84" t="s">
        <v>72</v>
      </c>
      <c r="AV84" t="s">
        <v>73</v>
      </c>
    </row>
    <row r="85" spans="1:48" x14ac:dyDescent="0.55000000000000004">
      <c r="A85">
        <v>1</v>
      </c>
      <c r="B85">
        <v>830</v>
      </c>
      <c r="C85">
        <v>185</v>
      </c>
      <c r="D85" t="s">
        <v>45</v>
      </c>
      <c r="E85" t="s">
        <v>256</v>
      </c>
      <c r="F85" t="s">
        <v>46</v>
      </c>
      <c r="G85" t="b">
        <v>0</v>
      </c>
      <c r="H85" s="1">
        <f>BVW_BTItemLot[[#This Row],[CreatedDateTime]]-TIME(7,0,0)</f>
        <v>45821.557556597225</v>
      </c>
      <c r="I85" s="1">
        <v>45821.849223263889</v>
      </c>
      <c r="J85" t="s">
        <v>114</v>
      </c>
      <c r="K85" t="b">
        <f ca="1">IF(BVW_BTItemLot[[#This Row],[Age]] &gt; 5, TRUE, FALSE)</f>
        <v>1</v>
      </c>
      <c r="L85" s="2">
        <f ca="1">ROUND(NOW()-BVW_BTItemLot[[#This Row],[UpdatedDateTime]],2)</f>
        <v>11.5</v>
      </c>
      <c r="M85" s="1">
        <v>45821.850190046294</v>
      </c>
      <c r="N85" t="s">
        <v>114</v>
      </c>
      <c r="Q85" t="s">
        <v>197</v>
      </c>
      <c r="S85" t="s">
        <v>47</v>
      </c>
      <c r="T85" t="s">
        <v>48</v>
      </c>
      <c r="U85" t="s">
        <v>49</v>
      </c>
      <c r="V85" t="s">
        <v>61</v>
      </c>
      <c r="W85" t="s">
        <v>76</v>
      </c>
      <c r="X85" t="s">
        <v>50</v>
      </c>
      <c r="Y85" t="s">
        <v>77</v>
      </c>
      <c r="Z85" t="s">
        <v>57</v>
      </c>
      <c r="AB85" t="s">
        <v>257</v>
      </c>
      <c r="AC85" t="s">
        <v>247</v>
      </c>
      <c r="AD85" t="s">
        <v>83</v>
      </c>
      <c r="AE85" t="s">
        <v>84</v>
      </c>
      <c r="AF85" t="s">
        <v>85</v>
      </c>
      <c r="AG85" t="b">
        <v>0</v>
      </c>
      <c r="AH85" t="b">
        <v>1</v>
      </c>
      <c r="AI85">
        <v>830</v>
      </c>
      <c r="AJ85">
        <v>1</v>
      </c>
      <c r="AK85">
        <v>830</v>
      </c>
      <c r="AL85">
        <v>0</v>
      </c>
      <c r="AM85" t="s">
        <v>47</v>
      </c>
      <c r="AN85" t="s">
        <v>68</v>
      </c>
      <c r="AO85" s="1">
        <v>45821.849223263889</v>
      </c>
      <c r="AP85" t="s">
        <v>51</v>
      </c>
      <c r="AQ85" t="s">
        <v>45</v>
      </c>
      <c r="AR85" t="s">
        <v>52</v>
      </c>
      <c r="AT85" t="s">
        <v>53</v>
      </c>
      <c r="AU85" t="s">
        <v>72</v>
      </c>
      <c r="AV85" t="s">
        <v>73</v>
      </c>
    </row>
    <row r="86" spans="1:48" x14ac:dyDescent="0.55000000000000004">
      <c r="A86">
        <v>1</v>
      </c>
      <c r="B86">
        <v>1405</v>
      </c>
      <c r="C86">
        <v>185</v>
      </c>
      <c r="D86" t="s">
        <v>45</v>
      </c>
      <c r="E86" t="s">
        <v>262</v>
      </c>
      <c r="F86" t="s">
        <v>46</v>
      </c>
      <c r="G86" t="b">
        <v>0</v>
      </c>
      <c r="H86" s="1">
        <f>BVW_BTItemLot[[#This Row],[CreatedDateTime]]-TIME(7,0,0)</f>
        <v>45820.577083796299</v>
      </c>
      <c r="I86" s="1">
        <v>45820.868750462963</v>
      </c>
      <c r="J86" t="s">
        <v>114</v>
      </c>
      <c r="K86" t="b">
        <f ca="1">IF(BVW_BTItemLot[[#This Row],[Age]] &gt; 5, TRUE, FALSE)</f>
        <v>1</v>
      </c>
      <c r="L86" s="2">
        <f ca="1">ROUND(NOW()-BVW_BTItemLot[[#This Row],[UpdatedDateTime]],2)</f>
        <v>12.48</v>
      </c>
      <c r="M86" s="1">
        <v>45820.869808252311</v>
      </c>
      <c r="N86" t="s">
        <v>114</v>
      </c>
      <c r="Q86" t="s">
        <v>263</v>
      </c>
      <c r="S86" t="s">
        <v>47</v>
      </c>
      <c r="T86" t="s">
        <v>48</v>
      </c>
      <c r="U86" t="s">
        <v>49</v>
      </c>
      <c r="V86" t="s">
        <v>61</v>
      </c>
      <c r="W86" t="s">
        <v>78</v>
      </c>
      <c r="X86" t="s">
        <v>50</v>
      </c>
      <c r="Y86" t="s">
        <v>77</v>
      </c>
      <c r="Z86" t="s">
        <v>50</v>
      </c>
      <c r="AB86" t="s">
        <v>264</v>
      </c>
      <c r="AC86" t="s">
        <v>261</v>
      </c>
      <c r="AD86" t="s">
        <v>135</v>
      </c>
      <c r="AE86" t="s">
        <v>136</v>
      </c>
      <c r="AF86" t="s">
        <v>137</v>
      </c>
      <c r="AG86" t="b">
        <v>0</v>
      </c>
      <c r="AH86" t="b">
        <v>1</v>
      </c>
      <c r="AI86">
        <v>1405</v>
      </c>
      <c r="AJ86">
        <v>1</v>
      </c>
      <c r="AK86">
        <v>1405</v>
      </c>
      <c r="AL86">
        <v>0</v>
      </c>
      <c r="AM86" t="s">
        <v>47</v>
      </c>
      <c r="AN86" t="s">
        <v>68</v>
      </c>
      <c r="AO86" s="1">
        <v>45820.868750462963</v>
      </c>
      <c r="AP86" t="s">
        <v>51</v>
      </c>
      <c r="AQ86" t="s">
        <v>45</v>
      </c>
      <c r="AR86" t="s">
        <v>52</v>
      </c>
      <c r="AU86" t="s">
        <v>54</v>
      </c>
      <c r="AV86" t="s">
        <v>74</v>
      </c>
    </row>
    <row r="87" spans="1:48" x14ac:dyDescent="0.55000000000000004">
      <c r="A87">
        <v>1</v>
      </c>
      <c r="B87">
        <v>1261</v>
      </c>
      <c r="C87">
        <v>185</v>
      </c>
      <c r="D87" t="s">
        <v>45</v>
      </c>
      <c r="E87" t="s">
        <v>265</v>
      </c>
      <c r="F87" t="s">
        <v>46</v>
      </c>
      <c r="G87" t="b">
        <v>0</v>
      </c>
      <c r="H87" s="1">
        <f>BVW_BTItemLot[[#This Row],[CreatedDateTime]]-TIME(7,0,0)</f>
        <v>45820.41107407408</v>
      </c>
      <c r="I87" s="1">
        <v>45820.702740740744</v>
      </c>
      <c r="J87" t="s">
        <v>114</v>
      </c>
      <c r="K87" t="b">
        <f ca="1">IF(BVW_BTItemLot[[#This Row],[Age]] &gt; 5, TRUE, FALSE)</f>
        <v>1</v>
      </c>
      <c r="L87" s="2">
        <f ca="1">ROUND(NOW()-BVW_BTItemLot[[#This Row],[UpdatedDateTime]],2)</f>
        <v>12.65</v>
      </c>
      <c r="M87" s="1">
        <v>45820.703442129627</v>
      </c>
      <c r="N87" t="s">
        <v>114</v>
      </c>
      <c r="Q87" t="s">
        <v>196</v>
      </c>
      <c r="S87" t="s">
        <v>47</v>
      </c>
      <c r="T87" t="s">
        <v>48</v>
      </c>
      <c r="U87" t="s">
        <v>49</v>
      </c>
      <c r="V87" t="s">
        <v>61</v>
      </c>
      <c r="W87" t="s">
        <v>78</v>
      </c>
      <c r="X87" t="s">
        <v>50</v>
      </c>
      <c r="Y87" t="s">
        <v>77</v>
      </c>
      <c r="Z87" t="s">
        <v>50</v>
      </c>
      <c r="AB87" t="s">
        <v>266</v>
      </c>
      <c r="AC87" t="s">
        <v>261</v>
      </c>
      <c r="AD87" t="s">
        <v>80</v>
      </c>
      <c r="AE87" t="s">
        <v>81</v>
      </c>
      <c r="AF87" t="s">
        <v>82</v>
      </c>
      <c r="AG87" t="b">
        <v>0</v>
      </c>
      <c r="AH87" t="b">
        <v>1</v>
      </c>
      <c r="AI87">
        <v>1261</v>
      </c>
      <c r="AJ87">
        <v>1</v>
      </c>
      <c r="AK87">
        <v>1261</v>
      </c>
      <c r="AL87">
        <v>0</v>
      </c>
      <c r="AM87" t="s">
        <v>47</v>
      </c>
      <c r="AN87" t="s">
        <v>68</v>
      </c>
      <c r="AO87" s="1">
        <v>45820.702740740744</v>
      </c>
      <c r="AP87" t="s">
        <v>51</v>
      </c>
      <c r="AQ87" t="s">
        <v>45</v>
      </c>
      <c r="AR87" t="s">
        <v>52</v>
      </c>
      <c r="AU87" t="s">
        <v>72</v>
      </c>
      <c r="AV87" t="s">
        <v>73</v>
      </c>
    </row>
    <row r="88" spans="1:48" x14ac:dyDescent="0.55000000000000004">
      <c r="A88">
        <v>1</v>
      </c>
      <c r="B88">
        <v>1770</v>
      </c>
      <c r="C88">
        <v>185</v>
      </c>
      <c r="D88" t="s">
        <v>45</v>
      </c>
      <c r="E88" t="s">
        <v>267</v>
      </c>
      <c r="F88" t="s">
        <v>46</v>
      </c>
      <c r="G88" t="b">
        <v>0</v>
      </c>
      <c r="H88" s="1">
        <f>BVW_BTItemLot[[#This Row],[CreatedDateTime]]-TIME(7,0,0)</f>
        <v>45819.934463194448</v>
      </c>
      <c r="I88" s="1">
        <v>45820.226129861112</v>
      </c>
      <c r="J88" t="s">
        <v>148</v>
      </c>
      <c r="K88" t="b">
        <f ca="1">IF(BVW_BTItemLot[[#This Row],[Age]] &gt; 5, TRUE, FALSE)</f>
        <v>1</v>
      </c>
      <c r="L88" s="2">
        <f ca="1">ROUND(NOW()-BVW_BTItemLot[[#This Row],[UpdatedDateTime]],2)</f>
        <v>13.13</v>
      </c>
      <c r="M88" s="1">
        <v>45820.226822951387</v>
      </c>
      <c r="N88" t="s">
        <v>148</v>
      </c>
      <c r="Q88" t="s">
        <v>211</v>
      </c>
      <c r="S88" t="s">
        <v>47</v>
      </c>
      <c r="T88" t="s">
        <v>48</v>
      </c>
      <c r="U88" t="s">
        <v>49</v>
      </c>
      <c r="V88" t="s">
        <v>61</v>
      </c>
      <c r="W88" t="s">
        <v>76</v>
      </c>
      <c r="X88" t="s">
        <v>50</v>
      </c>
      <c r="Y88" t="s">
        <v>77</v>
      </c>
      <c r="Z88" t="s">
        <v>57</v>
      </c>
      <c r="AB88" t="s">
        <v>268</v>
      </c>
      <c r="AC88" t="s">
        <v>269</v>
      </c>
      <c r="AD88" t="s">
        <v>270</v>
      </c>
      <c r="AE88" t="s">
        <v>271</v>
      </c>
      <c r="AF88" t="s">
        <v>272</v>
      </c>
      <c r="AG88" t="b">
        <v>0</v>
      </c>
      <c r="AH88" t="b">
        <v>1</v>
      </c>
      <c r="AI88">
        <v>1728</v>
      </c>
      <c r="AJ88">
        <v>1</v>
      </c>
      <c r="AK88">
        <v>1728</v>
      </c>
      <c r="AL88">
        <v>0</v>
      </c>
      <c r="AM88" t="s">
        <v>47</v>
      </c>
      <c r="AN88" t="s">
        <v>98</v>
      </c>
      <c r="AO88" s="1">
        <v>45820.1299005787</v>
      </c>
      <c r="AP88" t="s">
        <v>51</v>
      </c>
      <c r="AQ88" t="s">
        <v>45</v>
      </c>
      <c r="AR88" t="s">
        <v>52</v>
      </c>
      <c r="AT88" t="s">
        <v>53</v>
      </c>
      <c r="AU88" t="s">
        <v>54</v>
      </c>
      <c r="AV88" t="s">
        <v>176</v>
      </c>
    </row>
    <row r="89" spans="1:48" x14ac:dyDescent="0.55000000000000004">
      <c r="A89">
        <v>1</v>
      </c>
      <c r="B89">
        <v>1451</v>
      </c>
      <c r="C89">
        <v>185</v>
      </c>
      <c r="D89" t="s">
        <v>45</v>
      </c>
      <c r="E89" t="s">
        <v>273</v>
      </c>
      <c r="F89" t="s">
        <v>46</v>
      </c>
      <c r="G89" t="b">
        <v>0</v>
      </c>
      <c r="H89" s="1">
        <f>BVW_BTItemLot[[#This Row],[CreatedDateTime]]-TIME(7,0,0)</f>
        <v>45819.86999741898</v>
      </c>
      <c r="I89" s="1">
        <v>45820.161664085645</v>
      </c>
      <c r="J89" t="s">
        <v>103</v>
      </c>
      <c r="K89" t="b">
        <f ca="1">IF(BVW_BTItemLot[[#This Row],[Age]] &gt; 5, TRUE, FALSE)</f>
        <v>1</v>
      </c>
      <c r="L89" s="2">
        <f ca="1">ROUND(NOW()-BVW_BTItemLot[[#This Row],[UpdatedDateTime]],2)</f>
        <v>13.19</v>
      </c>
      <c r="M89" s="1">
        <v>45820.16205327546</v>
      </c>
      <c r="N89" t="s">
        <v>103</v>
      </c>
      <c r="Q89" t="s">
        <v>198</v>
      </c>
      <c r="S89" t="s">
        <v>47</v>
      </c>
      <c r="T89" t="s">
        <v>48</v>
      </c>
      <c r="U89" t="s">
        <v>49</v>
      </c>
      <c r="V89" t="s">
        <v>61</v>
      </c>
      <c r="W89" t="s">
        <v>76</v>
      </c>
      <c r="X89" t="s">
        <v>50</v>
      </c>
      <c r="Y89" t="s">
        <v>77</v>
      </c>
      <c r="Z89" t="s">
        <v>57</v>
      </c>
      <c r="AB89" t="s">
        <v>274</v>
      </c>
      <c r="AC89" t="s">
        <v>275</v>
      </c>
      <c r="AD89" t="s">
        <v>69</v>
      </c>
      <c r="AE89" t="s">
        <v>70</v>
      </c>
      <c r="AF89" t="s">
        <v>71</v>
      </c>
      <c r="AG89" t="b">
        <v>0</v>
      </c>
      <c r="AH89" t="b">
        <v>1</v>
      </c>
      <c r="AI89">
        <v>1456</v>
      </c>
      <c r="AJ89">
        <v>1</v>
      </c>
      <c r="AK89">
        <v>1456</v>
      </c>
      <c r="AL89">
        <v>0</v>
      </c>
      <c r="AM89" t="s">
        <v>47</v>
      </c>
      <c r="AN89" t="s">
        <v>68</v>
      </c>
      <c r="AO89" s="1">
        <v>45820.049039155092</v>
      </c>
      <c r="AP89" t="s">
        <v>51</v>
      </c>
      <c r="AQ89" t="s">
        <v>45</v>
      </c>
      <c r="AR89" t="s">
        <v>52</v>
      </c>
      <c r="AT89" t="s">
        <v>53</v>
      </c>
      <c r="AU89" t="s">
        <v>72</v>
      </c>
      <c r="AV89" t="s">
        <v>73</v>
      </c>
    </row>
    <row r="90" spans="1:48" x14ac:dyDescent="0.55000000000000004">
      <c r="A90">
        <v>1</v>
      </c>
      <c r="B90">
        <v>1267</v>
      </c>
      <c r="C90">
        <v>185</v>
      </c>
      <c r="D90" t="s">
        <v>45</v>
      </c>
      <c r="E90" t="s">
        <v>276</v>
      </c>
      <c r="F90" t="s">
        <v>46</v>
      </c>
      <c r="G90" t="b">
        <v>0</v>
      </c>
      <c r="H90" s="1">
        <f>BVW_BTItemLot[[#This Row],[CreatedDateTime]]-TIME(7,0,0)</f>
        <v>45819.4303659375</v>
      </c>
      <c r="I90" s="1">
        <v>45819.722032604164</v>
      </c>
      <c r="J90" t="s">
        <v>114</v>
      </c>
      <c r="K90" t="b">
        <f ca="1">IF(BVW_BTItemLot[[#This Row],[Age]] &gt; 5, TRUE, FALSE)</f>
        <v>1</v>
      </c>
      <c r="L90" s="2">
        <f ca="1">ROUND(NOW()-BVW_BTItemLot[[#This Row],[UpdatedDateTime]],2)</f>
        <v>13.63</v>
      </c>
      <c r="M90" s="1">
        <v>45819.722394710647</v>
      </c>
      <c r="N90" t="s">
        <v>114</v>
      </c>
      <c r="Q90" t="s">
        <v>177</v>
      </c>
      <c r="S90" t="s">
        <v>47</v>
      </c>
      <c r="T90" t="s">
        <v>48</v>
      </c>
      <c r="U90" t="s">
        <v>49</v>
      </c>
      <c r="V90" t="s">
        <v>61</v>
      </c>
      <c r="W90" t="s">
        <v>76</v>
      </c>
      <c r="X90" t="s">
        <v>50</v>
      </c>
      <c r="Y90" t="s">
        <v>77</v>
      </c>
      <c r="Z90" t="s">
        <v>57</v>
      </c>
      <c r="AB90" t="s">
        <v>277</v>
      </c>
      <c r="AC90" t="s">
        <v>275</v>
      </c>
      <c r="AD90" t="s">
        <v>69</v>
      </c>
      <c r="AE90" t="s">
        <v>70</v>
      </c>
      <c r="AF90" t="s">
        <v>71</v>
      </c>
      <c r="AG90" t="b">
        <v>0</v>
      </c>
      <c r="AH90" t="b">
        <v>1</v>
      </c>
      <c r="AI90">
        <v>1267</v>
      </c>
      <c r="AJ90">
        <v>1</v>
      </c>
      <c r="AK90">
        <v>1267</v>
      </c>
      <c r="AL90">
        <v>0</v>
      </c>
      <c r="AM90" t="s">
        <v>47</v>
      </c>
      <c r="AN90" t="s">
        <v>68</v>
      </c>
      <c r="AO90" s="1">
        <v>45819.722032604164</v>
      </c>
      <c r="AP90" t="s">
        <v>51</v>
      </c>
      <c r="AQ90" t="s">
        <v>45</v>
      </c>
      <c r="AR90" t="s">
        <v>52</v>
      </c>
      <c r="AT90" t="s">
        <v>53</v>
      </c>
      <c r="AU90" t="s">
        <v>72</v>
      </c>
      <c r="AV90" t="s">
        <v>73</v>
      </c>
    </row>
    <row r="91" spans="1:48" x14ac:dyDescent="0.55000000000000004">
      <c r="A91">
        <v>1</v>
      </c>
      <c r="B91">
        <v>1483</v>
      </c>
      <c r="C91">
        <v>185</v>
      </c>
      <c r="D91" t="s">
        <v>45</v>
      </c>
      <c r="E91" t="s">
        <v>278</v>
      </c>
      <c r="F91" t="s">
        <v>46</v>
      </c>
      <c r="G91" t="b">
        <v>0</v>
      </c>
      <c r="H91" s="1">
        <f>BVW_BTItemLot[[#This Row],[CreatedDateTime]]-TIME(7,0,0)</f>
        <v>45819.425625381948</v>
      </c>
      <c r="I91" s="1">
        <v>45819.717292048612</v>
      </c>
      <c r="J91" t="s">
        <v>114</v>
      </c>
      <c r="K91" t="b">
        <f ca="1">IF(BVW_BTItemLot[[#This Row],[Age]] &gt; 5, TRUE, FALSE)</f>
        <v>1</v>
      </c>
      <c r="L91" s="2">
        <f ca="1">ROUND(NOW()-BVW_BTItemLot[[#This Row],[UpdatedDateTime]],2)</f>
        <v>13.63</v>
      </c>
      <c r="M91" s="1">
        <v>45819.718233912034</v>
      </c>
      <c r="N91" t="s">
        <v>114</v>
      </c>
      <c r="Q91" t="s">
        <v>279</v>
      </c>
      <c r="S91" t="s">
        <v>47</v>
      </c>
      <c r="T91" t="s">
        <v>48</v>
      </c>
      <c r="U91" t="s">
        <v>49</v>
      </c>
      <c r="V91" t="s">
        <v>61</v>
      </c>
      <c r="W91" t="s">
        <v>76</v>
      </c>
      <c r="X91" t="s">
        <v>50</v>
      </c>
      <c r="Y91" t="s">
        <v>77</v>
      </c>
      <c r="Z91" t="s">
        <v>57</v>
      </c>
      <c r="AB91" t="s">
        <v>280</v>
      </c>
      <c r="AC91" t="s">
        <v>275</v>
      </c>
      <c r="AD91" t="s">
        <v>83</v>
      </c>
      <c r="AE91" t="s">
        <v>84</v>
      </c>
      <c r="AF91" t="s">
        <v>85</v>
      </c>
      <c r="AG91" t="b">
        <v>0</v>
      </c>
      <c r="AH91" t="b">
        <v>1</v>
      </c>
      <c r="AI91">
        <v>1483</v>
      </c>
      <c r="AJ91">
        <v>1</v>
      </c>
      <c r="AK91">
        <v>1483</v>
      </c>
      <c r="AL91">
        <v>0</v>
      </c>
      <c r="AM91" t="s">
        <v>47</v>
      </c>
      <c r="AN91" t="s">
        <v>68</v>
      </c>
      <c r="AO91" s="1">
        <v>45819.717292048612</v>
      </c>
      <c r="AP91" t="s">
        <v>51</v>
      </c>
      <c r="AQ91" t="s">
        <v>45</v>
      </c>
      <c r="AR91" t="s">
        <v>52</v>
      </c>
      <c r="AT91" t="s">
        <v>53</v>
      </c>
      <c r="AU91" t="s">
        <v>72</v>
      </c>
      <c r="AV91" t="s">
        <v>73</v>
      </c>
    </row>
    <row r="92" spans="1:48" x14ac:dyDescent="0.55000000000000004">
      <c r="A92">
        <v>1</v>
      </c>
      <c r="B92">
        <v>1346</v>
      </c>
      <c r="C92">
        <v>185</v>
      </c>
      <c r="D92" t="s">
        <v>45</v>
      </c>
      <c r="E92" t="s">
        <v>199</v>
      </c>
      <c r="F92" t="s">
        <v>46</v>
      </c>
      <c r="G92" t="b">
        <v>0</v>
      </c>
      <c r="H92" s="1">
        <f>BVW_BTItemLot[[#This Row],[CreatedDateTime]]-TIME(7,0,0)</f>
        <v>45818.743285729171</v>
      </c>
      <c r="I92" s="1">
        <v>45819.034952395836</v>
      </c>
      <c r="J92" t="s">
        <v>103</v>
      </c>
      <c r="K92" t="b">
        <f ca="1">IF(BVW_BTItemLot[[#This Row],[Age]] &gt; 5, TRUE, FALSE)</f>
        <v>1</v>
      </c>
      <c r="L92" s="2">
        <f ca="1">ROUND(NOW()-BVW_BTItemLot[[#This Row],[UpdatedDateTime]],2)</f>
        <v>14.32</v>
      </c>
      <c r="M92" s="1">
        <v>45819.035469212962</v>
      </c>
      <c r="N92" t="s">
        <v>103</v>
      </c>
      <c r="Q92" t="s">
        <v>191</v>
      </c>
      <c r="S92" t="s">
        <v>47</v>
      </c>
      <c r="T92" t="s">
        <v>48</v>
      </c>
      <c r="U92" t="s">
        <v>49</v>
      </c>
      <c r="V92" t="s">
        <v>61</v>
      </c>
      <c r="W92" t="s">
        <v>76</v>
      </c>
      <c r="X92" t="s">
        <v>50</v>
      </c>
      <c r="Y92" t="s">
        <v>77</v>
      </c>
      <c r="Z92" t="s">
        <v>57</v>
      </c>
      <c r="AB92" t="s">
        <v>200</v>
      </c>
      <c r="AC92" t="s">
        <v>195</v>
      </c>
      <c r="AD92" t="s">
        <v>69</v>
      </c>
      <c r="AE92" t="s">
        <v>70</v>
      </c>
      <c r="AF92" t="s">
        <v>71</v>
      </c>
      <c r="AG92" t="b">
        <v>0</v>
      </c>
      <c r="AH92" t="b">
        <v>1</v>
      </c>
      <c r="AI92">
        <v>1346</v>
      </c>
      <c r="AJ92">
        <v>1</v>
      </c>
      <c r="AK92">
        <v>1346</v>
      </c>
      <c r="AL92">
        <v>0</v>
      </c>
      <c r="AM92" t="s">
        <v>47</v>
      </c>
      <c r="AN92" t="s">
        <v>68</v>
      </c>
      <c r="AO92" s="1">
        <v>45819.034952395836</v>
      </c>
      <c r="AP92" t="s">
        <v>51</v>
      </c>
      <c r="AQ92" t="s">
        <v>45</v>
      </c>
      <c r="AR92" t="s">
        <v>52</v>
      </c>
      <c r="AT92" t="s">
        <v>53</v>
      </c>
      <c r="AU92" t="s">
        <v>72</v>
      </c>
      <c r="AV92" t="s">
        <v>73</v>
      </c>
    </row>
    <row r="93" spans="1:48" x14ac:dyDescent="0.55000000000000004">
      <c r="A93">
        <v>1</v>
      </c>
      <c r="B93">
        <v>1197</v>
      </c>
      <c r="C93">
        <v>185</v>
      </c>
      <c r="D93" t="s">
        <v>45</v>
      </c>
      <c r="E93" t="s">
        <v>202</v>
      </c>
      <c r="F93" t="s">
        <v>46</v>
      </c>
      <c r="G93" t="b">
        <v>0</v>
      </c>
      <c r="H93" s="1">
        <f>BVW_BTItemLot[[#This Row],[CreatedDateTime]]-TIME(7,0,0)</f>
        <v>45818.478994016208</v>
      </c>
      <c r="I93" s="1">
        <v>45818.770660682872</v>
      </c>
      <c r="J93" t="s">
        <v>114</v>
      </c>
      <c r="K93" t="b">
        <f ca="1">IF(BVW_BTItemLot[[#This Row],[Age]] &gt; 5, TRUE, FALSE)</f>
        <v>1</v>
      </c>
      <c r="L93" s="2">
        <f ca="1">ROUND(NOW()-BVW_BTItemLot[[#This Row],[UpdatedDateTime]],2)</f>
        <v>14.58</v>
      </c>
      <c r="M93" s="1">
        <v>45818.770960266207</v>
      </c>
      <c r="N93" t="s">
        <v>114</v>
      </c>
      <c r="Q93" t="s">
        <v>203</v>
      </c>
      <c r="S93" t="s">
        <v>47</v>
      </c>
      <c r="T93" t="s">
        <v>48</v>
      </c>
      <c r="U93" t="s">
        <v>49</v>
      </c>
      <c r="V93" t="s">
        <v>61</v>
      </c>
      <c r="W93" t="s">
        <v>78</v>
      </c>
      <c r="X93" t="s">
        <v>50</v>
      </c>
      <c r="Y93" t="s">
        <v>77</v>
      </c>
      <c r="Z93" t="s">
        <v>50</v>
      </c>
      <c r="AB93" t="s">
        <v>204</v>
      </c>
      <c r="AC93" t="s">
        <v>195</v>
      </c>
      <c r="AD93" t="s">
        <v>80</v>
      </c>
      <c r="AE93" t="s">
        <v>81</v>
      </c>
      <c r="AF93" t="s">
        <v>82</v>
      </c>
      <c r="AG93" t="b">
        <v>0</v>
      </c>
      <c r="AH93" t="b">
        <v>1</v>
      </c>
      <c r="AI93">
        <v>1197</v>
      </c>
      <c r="AJ93">
        <v>1</v>
      </c>
      <c r="AK93">
        <v>1197</v>
      </c>
      <c r="AL93">
        <v>0</v>
      </c>
      <c r="AM93" t="s">
        <v>47</v>
      </c>
      <c r="AN93" t="s">
        <v>68</v>
      </c>
      <c r="AO93" s="1">
        <v>45818.770660682872</v>
      </c>
      <c r="AP93" t="s">
        <v>51</v>
      </c>
      <c r="AQ93" t="s">
        <v>45</v>
      </c>
      <c r="AR93" t="s">
        <v>52</v>
      </c>
      <c r="AU93" t="s">
        <v>72</v>
      </c>
      <c r="AV93" t="s">
        <v>73</v>
      </c>
    </row>
    <row r="94" spans="1:48" x14ac:dyDescent="0.55000000000000004">
      <c r="A94">
        <v>1</v>
      </c>
      <c r="B94">
        <v>1645</v>
      </c>
      <c r="C94">
        <v>185</v>
      </c>
      <c r="D94" t="s">
        <v>45</v>
      </c>
      <c r="E94" t="s">
        <v>207</v>
      </c>
      <c r="F94" t="s">
        <v>46</v>
      </c>
      <c r="G94" t="b">
        <v>0</v>
      </c>
      <c r="H94" s="1">
        <f>BVW_BTItemLot[[#This Row],[CreatedDateTime]]-TIME(7,0,0)</f>
        <v>45817.94344988426</v>
      </c>
      <c r="I94" s="1">
        <v>45818.235116550924</v>
      </c>
      <c r="J94" t="s">
        <v>103</v>
      </c>
      <c r="K94" t="b">
        <f ca="1">IF(BVW_BTItemLot[[#This Row],[Age]] &gt; 5, TRUE, FALSE)</f>
        <v>1</v>
      </c>
      <c r="L94" s="2">
        <f ca="1">ROUND(NOW()-BVW_BTItemLot[[#This Row],[UpdatedDateTime]],2)</f>
        <v>15.12</v>
      </c>
      <c r="M94" s="1">
        <v>45818.235461226854</v>
      </c>
      <c r="N94" t="s">
        <v>103</v>
      </c>
      <c r="Q94" t="s">
        <v>159</v>
      </c>
      <c r="S94" t="s">
        <v>47</v>
      </c>
      <c r="T94" t="s">
        <v>48</v>
      </c>
      <c r="U94" t="s">
        <v>49</v>
      </c>
      <c r="V94" t="s">
        <v>61</v>
      </c>
      <c r="W94" t="s">
        <v>76</v>
      </c>
      <c r="X94" t="s">
        <v>50</v>
      </c>
      <c r="Y94" t="s">
        <v>77</v>
      </c>
      <c r="Z94" t="s">
        <v>57</v>
      </c>
      <c r="AB94" t="s">
        <v>208</v>
      </c>
      <c r="AC94" t="s">
        <v>209</v>
      </c>
      <c r="AD94" t="s">
        <v>83</v>
      </c>
      <c r="AE94" t="s">
        <v>84</v>
      </c>
      <c r="AF94" t="s">
        <v>85</v>
      </c>
      <c r="AG94" t="b">
        <v>0</v>
      </c>
      <c r="AH94" t="b">
        <v>1</v>
      </c>
      <c r="AI94">
        <v>1645</v>
      </c>
      <c r="AJ94">
        <v>1</v>
      </c>
      <c r="AK94">
        <v>1645</v>
      </c>
      <c r="AL94">
        <v>0</v>
      </c>
      <c r="AM94" t="s">
        <v>47</v>
      </c>
      <c r="AN94" t="s">
        <v>68</v>
      </c>
      <c r="AO94" s="1">
        <v>45818.235116550924</v>
      </c>
      <c r="AP94" t="s">
        <v>51</v>
      </c>
      <c r="AQ94" t="s">
        <v>45</v>
      </c>
      <c r="AR94" t="s">
        <v>52</v>
      </c>
      <c r="AT94" t="s">
        <v>53</v>
      </c>
      <c r="AU94" t="s">
        <v>72</v>
      </c>
      <c r="AV94" t="s">
        <v>73</v>
      </c>
    </row>
    <row r="95" spans="1:48" x14ac:dyDescent="0.55000000000000004">
      <c r="A95">
        <v>1</v>
      </c>
      <c r="B95">
        <v>1431</v>
      </c>
      <c r="C95">
        <v>185</v>
      </c>
      <c r="D95" t="s">
        <v>45</v>
      </c>
      <c r="E95" t="s">
        <v>212</v>
      </c>
      <c r="F95" t="s">
        <v>46</v>
      </c>
      <c r="G95" t="b">
        <v>0</v>
      </c>
      <c r="H95" s="1">
        <f>BVW_BTItemLot[[#This Row],[CreatedDateTime]]-TIME(7,0,0)</f>
        <v>45817.508740856487</v>
      </c>
      <c r="I95" s="1">
        <v>45817.800407523151</v>
      </c>
      <c r="J95" t="s">
        <v>114</v>
      </c>
      <c r="K95" t="b">
        <f ca="1">IF(BVW_BTItemLot[[#This Row],[Age]] &gt; 5, TRUE, FALSE)</f>
        <v>1</v>
      </c>
      <c r="L95" s="2">
        <f ca="1">ROUND(NOW()-BVW_BTItemLot[[#This Row],[UpdatedDateTime]],2)</f>
        <v>15.54</v>
      </c>
      <c r="M95" s="1">
        <v>45817.815957557868</v>
      </c>
      <c r="N95" t="s">
        <v>114</v>
      </c>
      <c r="Q95" t="s">
        <v>213</v>
      </c>
      <c r="S95" t="s">
        <v>47</v>
      </c>
      <c r="T95" t="s">
        <v>48</v>
      </c>
      <c r="U95" t="s">
        <v>49</v>
      </c>
      <c r="V95" t="s">
        <v>61</v>
      </c>
      <c r="W95" t="s">
        <v>78</v>
      </c>
      <c r="X95" t="s">
        <v>50</v>
      </c>
      <c r="Y95" t="s">
        <v>77</v>
      </c>
      <c r="Z95" t="s">
        <v>50</v>
      </c>
      <c r="AB95" t="s">
        <v>214</v>
      </c>
      <c r="AC95" t="s">
        <v>209</v>
      </c>
      <c r="AD95" t="s">
        <v>135</v>
      </c>
      <c r="AE95" t="s">
        <v>136</v>
      </c>
      <c r="AF95" t="s">
        <v>137</v>
      </c>
      <c r="AG95" t="b">
        <v>0</v>
      </c>
      <c r="AH95" t="b">
        <v>1</v>
      </c>
      <c r="AI95">
        <v>1431</v>
      </c>
      <c r="AJ95">
        <v>1</v>
      </c>
      <c r="AK95">
        <v>1431</v>
      </c>
      <c r="AL95">
        <v>0</v>
      </c>
      <c r="AM95" t="s">
        <v>47</v>
      </c>
      <c r="AN95" t="s">
        <v>68</v>
      </c>
      <c r="AO95" s="1">
        <v>45817.800407523151</v>
      </c>
      <c r="AP95" t="s">
        <v>51</v>
      </c>
      <c r="AQ95" t="s">
        <v>45</v>
      </c>
      <c r="AR95" t="s">
        <v>52</v>
      </c>
      <c r="AU95" t="s">
        <v>54</v>
      </c>
      <c r="AV95" t="s">
        <v>74</v>
      </c>
    </row>
    <row r="96" spans="1:48" x14ac:dyDescent="0.55000000000000004">
      <c r="A96">
        <v>1</v>
      </c>
      <c r="B96">
        <v>1348</v>
      </c>
      <c r="C96">
        <v>185</v>
      </c>
      <c r="D96" t="s">
        <v>45</v>
      </c>
      <c r="E96" t="s">
        <v>215</v>
      </c>
      <c r="F96" t="s">
        <v>46</v>
      </c>
      <c r="G96" t="b">
        <v>0</v>
      </c>
      <c r="H96" s="1">
        <f>BVW_BTItemLot[[#This Row],[CreatedDateTime]]-TIME(7,0,0)</f>
        <v>45817.447472685184</v>
      </c>
      <c r="I96" s="1">
        <v>45817.739139351848</v>
      </c>
      <c r="J96" t="s">
        <v>114</v>
      </c>
      <c r="K96" t="b">
        <f ca="1">IF(BVW_BTItemLot[[#This Row],[Age]] &gt; 5, TRUE, FALSE)</f>
        <v>1</v>
      </c>
      <c r="L96" s="2">
        <f ca="1">ROUND(NOW()-BVW_BTItemLot[[#This Row],[UpdatedDateTime]],2)</f>
        <v>15.61</v>
      </c>
      <c r="M96" s="1">
        <v>45817.740343981481</v>
      </c>
      <c r="N96" t="s">
        <v>114</v>
      </c>
      <c r="Q96" t="s">
        <v>153</v>
      </c>
      <c r="S96" t="s">
        <v>47</v>
      </c>
      <c r="T96" t="s">
        <v>48</v>
      </c>
      <c r="U96" t="s">
        <v>49</v>
      </c>
      <c r="V96" t="s">
        <v>61</v>
      </c>
      <c r="W96" t="s">
        <v>78</v>
      </c>
      <c r="X96" t="s">
        <v>50</v>
      </c>
      <c r="Y96" t="s">
        <v>77</v>
      </c>
      <c r="Z96" t="s">
        <v>50</v>
      </c>
      <c r="AB96" t="s">
        <v>216</v>
      </c>
      <c r="AC96" t="s">
        <v>209</v>
      </c>
      <c r="AD96" t="s">
        <v>80</v>
      </c>
      <c r="AE96" t="s">
        <v>81</v>
      </c>
      <c r="AF96" t="s">
        <v>82</v>
      </c>
      <c r="AG96" t="b">
        <v>0</v>
      </c>
      <c r="AH96" t="b">
        <v>1</v>
      </c>
      <c r="AI96">
        <v>1348</v>
      </c>
      <c r="AJ96">
        <v>1</v>
      </c>
      <c r="AK96">
        <v>1348</v>
      </c>
      <c r="AL96">
        <v>0</v>
      </c>
      <c r="AM96" t="s">
        <v>47</v>
      </c>
      <c r="AN96" t="s">
        <v>68</v>
      </c>
      <c r="AO96" s="1">
        <v>45817.739139351848</v>
      </c>
      <c r="AP96" t="s">
        <v>51</v>
      </c>
      <c r="AQ96" t="s">
        <v>45</v>
      </c>
      <c r="AR96" t="s">
        <v>52</v>
      </c>
      <c r="AU96" t="s">
        <v>72</v>
      </c>
      <c r="AV96" t="s">
        <v>73</v>
      </c>
    </row>
    <row r="97" spans="1:48" x14ac:dyDescent="0.55000000000000004">
      <c r="A97">
        <v>1</v>
      </c>
      <c r="B97">
        <v>1329</v>
      </c>
      <c r="C97">
        <v>185</v>
      </c>
      <c r="D97" t="s">
        <v>45</v>
      </c>
      <c r="E97" t="s">
        <v>219</v>
      </c>
      <c r="F97" t="s">
        <v>46</v>
      </c>
      <c r="G97" t="b">
        <v>0</v>
      </c>
      <c r="H97" s="1">
        <f>BVW_BTItemLot[[#This Row],[CreatedDateTime]]-TIME(7,0,0)</f>
        <v>45814.959617673616</v>
      </c>
      <c r="I97" s="1">
        <v>45815.25128434028</v>
      </c>
      <c r="J97" t="s">
        <v>62</v>
      </c>
      <c r="K97" t="b">
        <f ca="1">IF(BVW_BTItemLot[[#This Row],[Age]] &gt; 5, TRUE, FALSE)</f>
        <v>1</v>
      </c>
      <c r="L97" s="2">
        <f ca="1">ROUND(NOW()-BVW_BTItemLot[[#This Row],[UpdatedDateTime]],2)</f>
        <v>8.75</v>
      </c>
      <c r="M97" s="1">
        <v>45824.597015509258</v>
      </c>
      <c r="N97" t="s">
        <v>116</v>
      </c>
      <c r="Q97" t="s">
        <v>192</v>
      </c>
      <c r="S97" t="s">
        <v>47</v>
      </c>
      <c r="T97" t="s">
        <v>48</v>
      </c>
      <c r="U97" t="s">
        <v>49</v>
      </c>
      <c r="V97" t="s">
        <v>61</v>
      </c>
      <c r="W97" t="s">
        <v>76</v>
      </c>
      <c r="X97" t="s">
        <v>50</v>
      </c>
      <c r="Y97" t="s">
        <v>77</v>
      </c>
      <c r="Z97" t="s">
        <v>57</v>
      </c>
      <c r="AB97" t="s">
        <v>217</v>
      </c>
      <c r="AC97" t="s">
        <v>218</v>
      </c>
      <c r="AD97" t="s">
        <v>83</v>
      </c>
      <c r="AE97" t="s">
        <v>84</v>
      </c>
      <c r="AF97" t="s">
        <v>85</v>
      </c>
      <c r="AG97" t="b">
        <v>0</v>
      </c>
      <c r="AH97" t="b">
        <v>1</v>
      </c>
      <c r="AI97">
        <v>1329</v>
      </c>
      <c r="AJ97">
        <v>1</v>
      </c>
      <c r="AK97">
        <v>1329</v>
      </c>
      <c r="AL97">
        <v>0</v>
      </c>
      <c r="AM97" t="s">
        <v>47</v>
      </c>
      <c r="AN97" t="s">
        <v>60</v>
      </c>
      <c r="AO97" s="1">
        <v>45815.25128434028</v>
      </c>
      <c r="AP97" t="s">
        <v>51</v>
      </c>
      <c r="AQ97" t="s">
        <v>45</v>
      </c>
      <c r="AR97" t="s">
        <v>52</v>
      </c>
      <c r="AT97" t="s">
        <v>53</v>
      </c>
      <c r="AU97" t="s">
        <v>72</v>
      </c>
      <c r="AV97" t="s">
        <v>73</v>
      </c>
    </row>
    <row r="98" spans="1:48" x14ac:dyDescent="0.55000000000000004">
      <c r="A98">
        <v>1</v>
      </c>
      <c r="B98">
        <v>1379</v>
      </c>
      <c r="C98">
        <v>185</v>
      </c>
      <c r="D98" t="s">
        <v>45</v>
      </c>
      <c r="E98" t="s">
        <v>222</v>
      </c>
      <c r="F98" t="s">
        <v>46</v>
      </c>
      <c r="G98" t="b">
        <v>0</v>
      </c>
      <c r="H98" s="1">
        <f>BVW_BTItemLot[[#This Row],[CreatedDateTime]]-TIME(7,0,0)</f>
        <v>45812.963409490745</v>
      </c>
      <c r="I98" s="1">
        <v>45813.255076157409</v>
      </c>
      <c r="J98" t="s">
        <v>62</v>
      </c>
      <c r="K98" t="b">
        <f ca="1">IF(BVW_BTItemLot[[#This Row],[Age]] &gt; 5, TRUE, FALSE)</f>
        <v>1</v>
      </c>
      <c r="L98" s="2">
        <f ca="1">ROUND(NOW()-BVW_BTItemLot[[#This Row],[UpdatedDateTime]],2)</f>
        <v>8.75</v>
      </c>
      <c r="M98" s="1">
        <v>45824.596951307867</v>
      </c>
      <c r="N98" t="s">
        <v>116</v>
      </c>
      <c r="Q98" t="s">
        <v>223</v>
      </c>
      <c r="S98" t="s">
        <v>47</v>
      </c>
      <c r="T98" t="s">
        <v>48</v>
      </c>
      <c r="U98" t="s">
        <v>49</v>
      </c>
      <c r="V98" t="s">
        <v>61</v>
      </c>
      <c r="W98" t="s">
        <v>76</v>
      </c>
      <c r="X98" t="s">
        <v>50</v>
      </c>
      <c r="Y98" t="s">
        <v>77</v>
      </c>
      <c r="Z98" t="s">
        <v>57</v>
      </c>
      <c r="AB98" t="s">
        <v>224</v>
      </c>
      <c r="AC98" t="s">
        <v>225</v>
      </c>
      <c r="AD98" t="s">
        <v>83</v>
      </c>
      <c r="AE98" t="s">
        <v>84</v>
      </c>
      <c r="AF98" t="s">
        <v>85</v>
      </c>
      <c r="AG98" t="b">
        <v>0</v>
      </c>
      <c r="AH98" t="b">
        <v>1</v>
      </c>
      <c r="AI98">
        <v>1094</v>
      </c>
      <c r="AJ98">
        <v>1</v>
      </c>
      <c r="AK98">
        <v>1094</v>
      </c>
      <c r="AL98">
        <v>0</v>
      </c>
      <c r="AM98" t="s">
        <v>47</v>
      </c>
      <c r="AN98" t="s">
        <v>60</v>
      </c>
      <c r="AO98" s="1">
        <v>45813.253046030091</v>
      </c>
      <c r="AP98" t="s">
        <v>51</v>
      </c>
      <c r="AQ98" t="s">
        <v>45</v>
      </c>
      <c r="AR98" t="s">
        <v>52</v>
      </c>
      <c r="AT98" t="s">
        <v>53</v>
      </c>
      <c r="AU98" t="s">
        <v>72</v>
      </c>
      <c r="AV98" t="s">
        <v>73</v>
      </c>
    </row>
    <row r="99" spans="1:48" x14ac:dyDescent="0.55000000000000004">
      <c r="A99">
        <v>1</v>
      </c>
      <c r="B99">
        <v>1301</v>
      </c>
      <c r="C99">
        <v>185</v>
      </c>
      <c r="D99" t="s">
        <v>45</v>
      </c>
      <c r="E99" t="s">
        <v>228</v>
      </c>
      <c r="F99" t="s">
        <v>46</v>
      </c>
      <c r="G99" t="b">
        <v>0</v>
      </c>
      <c r="H99" s="1">
        <f>BVW_BTItemLot[[#This Row],[CreatedDateTime]]-TIME(7,0,0)</f>
        <v>45812.387153009258</v>
      </c>
      <c r="I99" s="1">
        <v>45812.678819675923</v>
      </c>
      <c r="J99" t="s">
        <v>114</v>
      </c>
      <c r="K99" t="b">
        <f ca="1">IF(BVW_BTItemLot[[#This Row],[Age]] &gt; 5, TRUE, FALSE)</f>
        <v>1</v>
      </c>
      <c r="L99" s="2">
        <f ca="1">ROUND(NOW()-BVW_BTItemLot[[#This Row],[UpdatedDateTime]],2)</f>
        <v>20.67</v>
      </c>
      <c r="M99" s="1">
        <v>45812.679630636572</v>
      </c>
      <c r="N99" t="s">
        <v>114</v>
      </c>
      <c r="Q99" t="s">
        <v>181</v>
      </c>
      <c r="S99" t="s">
        <v>47</v>
      </c>
      <c r="T99" t="s">
        <v>48</v>
      </c>
      <c r="U99" t="s">
        <v>49</v>
      </c>
      <c r="V99" t="s">
        <v>61</v>
      </c>
      <c r="W99" t="s">
        <v>78</v>
      </c>
      <c r="X99" t="s">
        <v>50</v>
      </c>
      <c r="Y99" t="s">
        <v>77</v>
      </c>
      <c r="Z99" t="s">
        <v>50</v>
      </c>
      <c r="AB99" t="s">
        <v>229</v>
      </c>
      <c r="AC99" t="s">
        <v>227</v>
      </c>
      <c r="AD99" t="s">
        <v>80</v>
      </c>
      <c r="AE99" t="s">
        <v>81</v>
      </c>
      <c r="AF99" t="s">
        <v>82</v>
      </c>
      <c r="AG99" t="b">
        <v>0</v>
      </c>
      <c r="AH99" t="b">
        <v>1</v>
      </c>
      <c r="AI99">
        <v>1301</v>
      </c>
      <c r="AJ99">
        <v>1</v>
      </c>
      <c r="AK99">
        <v>1301</v>
      </c>
      <c r="AL99">
        <v>0</v>
      </c>
      <c r="AM99" t="s">
        <v>47</v>
      </c>
      <c r="AN99" t="s">
        <v>68</v>
      </c>
      <c r="AO99" s="1">
        <v>45812.678819675923</v>
      </c>
      <c r="AP99" t="s">
        <v>51</v>
      </c>
      <c r="AQ99" t="s">
        <v>45</v>
      </c>
      <c r="AR99" t="s">
        <v>52</v>
      </c>
      <c r="AU99" t="s">
        <v>72</v>
      </c>
      <c r="AV99" t="s">
        <v>73</v>
      </c>
    </row>
    <row r="100" spans="1:48" x14ac:dyDescent="0.55000000000000004">
      <c r="A100">
        <v>1</v>
      </c>
      <c r="B100">
        <v>1526</v>
      </c>
      <c r="C100">
        <v>0</v>
      </c>
      <c r="D100" t="s">
        <v>45</v>
      </c>
      <c r="E100" t="s">
        <v>230</v>
      </c>
      <c r="F100" t="s">
        <v>46</v>
      </c>
      <c r="G100" t="b">
        <v>0</v>
      </c>
      <c r="H100" s="1">
        <f>BVW_BTItemLot[[#This Row],[CreatedDateTime]]-TIME(7,0,0)</f>
        <v>45811.305124155093</v>
      </c>
      <c r="I100" s="1">
        <v>45811.596790821757</v>
      </c>
      <c r="J100" t="s">
        <v>193</v>
      </c>
      <c r="K100" t="b">
        <f ca="1">IF(BVW_BTItemLot[[#This Row],[Age]] &gt; 5, TRUE, FALSE)</f>
        <v>1</v>
      </c>
      <c r="L100" s="2">
        <f ca="1">ROUND(NOW()-BVW_BTItemLot[[#This Row],[UpdatedDateTime]],2)</f>
        <v>8.75</v>
      </c>
      <c r="M100" s="1">
        <v>45824.597253391206</v>
      </c>
      <c r="N100" t="s">
        <v>116</v>
      </c>
      <c r="Q100" t="s">
        <v>131</v>
      </c>
      <c r="S100" t="s">
        <v>47</v>
      </c>
      <c r="T100" t="s">
        <v>48</v>
      </c>
      <c r="U100" t="s">
        <v>49</v>
      </c>
      <c r="V100" t="s">
        <v>61</v>
      </c>
      <c r="W100" t="s">
        <v>78</v>
      </c>
      <c r="X100" t="s">
        <v>50</v>
      </c>
      <c r="Y100" t="s">
        <v>77</v>
      </c>
      <c r="Z100" t="s">
        <v>50</v>
      </c>
      <c r="AB100" t="s">
        <v>231</v>
      </c>
      <c r="AC100" t="s">
        <v>220</v>
      </c>
      <c r="AD100" t="s">
        <v>188</v>
      </c>
      <c r="AE100" t="s">
        <v>189</v>
      </c>
      <c r="AF100" t="s">
        <v>190</v>
      </c>
      <c r="AG100" t="b">
        <v>0</v>
      </c>
      <c r="AH100" t="b">
        <v>1</v>
      </c>
      <c r="AI100">
        <v>1481</v>
      </c>
      <c r="AJ100">
        <v>1</v>
      </c>
      <c r="AK100">
        <v>1481</v>
      </c>
      <c r="AL100">
        <v>0</v>
      </c>
      <c r="AM100" t="s">
        <v>47</v>
      </c>
      <c r="AN100" t="s">
        <v>67</v>
      </c>
      <c r="AO100" s="1">
        <v>45811.596194872684</v>
      </c>
      <c r="AP100" t="s">
        <v>51</v>
      </c>
      <c r="AQ100" t="s">
        <v>87</v>
      </c>
      <c r="AR100" t="s">
        <v>52</v>
      </c>
      <c r="AV100" t="s">
        <v>164</v>
      </c>
    </row>
    <row r="101" spans="1:48" x14ac:dyDescent="0.55000000000000004">
      <c r="A101">
        <v>1</v>
      </c>
      <c r="B101">
        <v>1626</v>
      </c>
      <c r="C101">
        <v>45</v>
      </c>
      <c r="D101" t="s">
        <v>45</v>
      </c>
      <c r="E101" t="s">
        <v>232</v>
      </c>
      <c r="F101" t="s">
        <v>46</v>
      </c>
      <c r="G101" t="b">
        <v>0</v>
      </c>
      <c r="H101" s="1">
        <f>BVW_BTItemLot[[#This Row],[CreatedDateTime]]-TIME(7,0,0)</f>
        <v>45811.264730983799</v>
      </c>
      <c r="I101" s="1">
        <v>45811.556397650464</v>
      </c>
      <c r="J101" t="s">
        <v>154</v>
      </c>
      <c r="K101" t="b">
        <f ca="1">IF(BVW_BTItemLot[[#This Row],[Age]] &gt; 5, TRUE, FALSE)</f>
        <v>1</v>
      </c>
      <c r="L101" s="2">
        <f ca="1">ROUND(NOW()-BVW_BTItemLot[[#This Row],[UpdatedDateTime]],2)</f>
        <v>21.79</v>
      </c>
      <c r="M101" s="1">
        <v>45811.556946412034</v>
      </c>
      <c r="N101" t="s">
        <v>154</v>
      </c>
      <c r="Q101" t="s">
        <v>131</v>
      </c>
      <c r="S101" t="s">
        <v>47</v>
      </c>
      <c r="T101" t="s">
        <v>48</v>
      </c>
      <c r="U101" t="s">
        <v>49</v>
      </c>
      <c r="V101" t="s">
        <v>49</v>
      </c>
      <c r="W101" t="s">
        <v>64</v>
      </c>
      <c r="X101" t="s">
        <v>50</v>
      </c>
      <c r="Y101" t="s">
        <v>65</v>
      </c>
      <c r="AB101" t="s">
        <v>233</v>
      </c>
      <c r="AC101" t="s">
        <v>234</v>
      </c>
      <c r="AD101" t="s">
        <v>127</v>
      </c>
      <c r="AE101" t="s">
        <v>128</v>
      </c>
      <c r="AF101" t="s">
        <v>129</v>
      </c>
      <c r="AG101" t="b">
        <v>0</v>
      </c>
      <c r="AH101" t="b">
        <v>1</v>
      </c>
      <c r="AI101">
        <v>1655</v>
      </c>
      <c r="AJ101">
        <v>1</v>
      </c>
      <c r="AK101">
        <v>1655</v>
      </c>
      <c r="AL101">
        <v>0</v>
      </c>
      <c r="AM101" t="s">
        <v>47</v>
      </c>
      <c r="AN101" t="s">
        <v>98</v>
      </c>
      <c r="AO101" s="1">
        <v>45811.43717326389</v>
      </c>
      <c r="AP101" t="s">
        <v>51</v>
      </c>
      <c r="AQ101" t="s">
        <v>45</v>
      </c>
      <c r="AR101" t="s">
        <v>52</v>
      </c>
      <c r="AT101" t="s">
        <v>53</v>
      </c>
      <c r="AU101" t="s">
        <v>54</v>
      </c>
      <c r="AV101" t="s">
        <v>74</v>
      </c>
    </row>
    <row r="102" spans="1:48" x14ac:dyDescent="0.55000000000000004">
      <c r="A102">
        <v>1</v>
      </c>
      <c r="B102">
        <v>1655</v>
      </c>
      <c r="C102">
        <v>45</v>
      </c>
      <c r="D102" t="s">
        <v>45</v>
      </c>
      <c r="E102" t="s">
        <v>235</v>
      </c>
      <c r="F102" t="s">
        <v>46</v>
      </c>
      <c r="G102" t="b">
        <v>0</v>
      </c>
      <c r="H102" s="1">
        <f>BVW_BTItemLot[[#This Row],[CreatedDateTime]]-TIME(7,0,0)</f>
        <v>45811.145506597226</v>
      </c>
      <c r="I102" s="1">
        <v>45811.43717326389</v>
      </c>
      <c r="J102" t="s">
        <v>154</v>
      </c>
      <c r="K102" t="b">
        <f ca="1">IF(BVW_BTItemLot[[#This Row],[Age]] &gt; 5, TRUE, FALSE)</f>
        <v>1</v>
      </c>
      <c r="L102" s="2">
        <f ca="1">ROUND(NOW()-BVW_BTItemLot[[#This Row],[UpdatedDateTime]],2)</f>
        <v>21.91</v>
      </c>
      <c r="M102" s="1">
        <v>45811.437826388887</v>
      </c>
      <c r="N102" t="s">
        <v>154</v>
      </c>
      <c r="Q102" t="s">
        <v>131</v>
      </c>
      <c r="S102" t="s">
        <v>47</v>
      </c>
      <c r="T102" t="s">
        <v>48</v>
      </c>
      <c r="U102" t="s">
        <v>49</v>
      </c>
      <c r="V102" t="s">
        <v>49</v>
      </c>
      <c r="W102" t="s">
        <v>64</v>
      </c>
      <c r="X102" t="s">
        <v>50</v>
      </c>
      <c r="Y102" t="s">
        <v>65</v>
      </c>
      <c r="AB102" t="s">
        <v>233</v>
      </c>
      <c r="AC102" t="s">
        <v>234</v>
      </c>
      <c r="AD102" t="s">
        <v>127</v>
      </c>
      <c r="AE102" t="s">
        <v>128</v>
      </c>
      <c r="AF102" t="s">
        <v>129</v>
      </c>
      <c r="AG102" t="b">
        <v>0</v>
      </c>
      <c r="AH102" t="b">
        <v>1</v>
      </c>
      <c r="AI102">
        <v>1655</v>
      </c>
      <c r="AJ102">
        <v>1</v>
      </c>
      <c r="AK102">
        <v>1655</v>
      </c>
      <c r="AL102">
        <v>0</v>
      </c>
      <c r="AM102" t="s">
        <v>47</v>
      </c>
      <c r="AN102" t="s">
        <v>98</v>
      </c>
      <c r="AO102" s="1">
        <v>45811.43717326389</v>
      </c>
      <c r="AP102" t="s">
        <v>51</v>
      </c>
      <c r="AQ102" t="s">
        <v>45</v>
      </c>
      <c r="AR102" t="s">
        <v>52</v>
      </c>
      <c r="AT102" t="s">
        <v>53</v>
      </c>
      <c r="AU102" t="s">
        <v>54</v>
      </c>
      <c r="AV102" t="s">
        <v>74</v>
      </c>
    </row>
    <row r="103" spans="1:48" x14ac:dyDescent="0.55000000000000004">
      <c r="A103">
        <v>1</v>
      </c>
      <c r="B103">
        <v>1377</v>
      </c>
      <c r="C103">
        <v>185</v>
      </c>
      <c r="D103" t="s">
        <v>45</v>
      </c>
      <c r="E103" t="s">
        <v>157</v>
      </c>
      <c r="F103" t="s">
        <v>46</v>
      </c>
      <c r="G103" t="b">
        <v>0</v>
      </c>
      <c r="H103" s="1">
        <f>BVW_BTItemLot[[#This Row],[CreatedDateTime]]-TIME(7,0,0)</f>
        <v>45804.49281369213</v>
      </c>
      <c r="I103" s="1">
        <v>45804.784480358794</v>
      </c>
      <c r="J103" t="s">
        <v>114</v>
      </c>
      <c r="K103" t="b">
        <f ca="1">IF(BVW_BTItemLot[[#This Row],[Age]] &gt; 5, TRUE, FALSE)</f>
        <v>1</v>
      </c>
      <c r="L103" s="2">
        <f ca="1">ROUND(NOW()-BVW_BTItemLot[[#This Row],[UpdatedDateTime]],2)</f>
        <v>28.57</v>
      </c>
      <c r="M103" s="1">
        <v>45804.785530439818</v>
      </c>
      <c r="N103" t="s">
        <v>114</v>
      </c>
      <c r="Q103" t="s">
        <v>130</v>
      </c>
      <c r="S103" t="s">
        <v>47</v>
      </c>
      <c r="T103" t="s">
        <v>48</v>
      </c>
      <c r="U103" t="s">
        <v>49</v>
      </c>
      <c r="V103" t="s">
        <v>61</v>
      </c>
      <c r="W103" t="s">
        <v>78</v>
      </c>
      <c r="X103" t="s">
        <v>50</v>
      </c>
      <c r="Y103" t="s">
        <v>77</v>
      </c>
      <c r="Z103" t="s">
        <v>50</v>
      </c>
      <c r="AB103" t="s">
        <v>158</v>
      </c>
      <c r="AC103" t="s">
        <v>156</v>
      </c>
      <c r="AD103" t="s">
        <v>135</v>
      </c>
      <c r="AE103" t="s">
        <v>136</v>
      </c>
      <c r="AF103" t="s">
        <v>137</v>
      </c>
      <c r="AG103" t="b">
        <v>0</v>
      </c>
      <c r="AH103" t="b">
        <v>1</v>
      </c>
      <c r="AI103">
        <v>1377</v>
      </c>
      <c r="AJ103">
        <v>1</v>
      </c>
      <c r="AK103">
        <v>1377</v>
      </c>
      <c r="AL103">
        <v>0</v>
      </c>
      <c r="AM103" t="s">
        <v>47</v>
      </c>
      <c r="AN103" t="s">
        <v>68</v>
      </c>
      <c r="AO103" s="1">
        <v>45804.784480358794</v>
      </c>
      <c r="AP103" t="s">
        <v>51</v>
      </c>
      <c r="AQ103" t="s">
        <v>45</v>
      </c>
      <c r="AR103" t="s">
        <v>52</v>
      </c>
      <c r="AU103" t="s">
        <v>54</v>
      </c>
      <c r="AV103" t="s">
        <v>74</v>
      </c>
    </row>
    <row r="104" spans="1:48" x14ac:dyDescent="0.55000000000000004">
      <c r="A104">
        <v>1</v>
      </c>
      <c r="B104">
        <v>278</v>
      </c>
      <c r="C104">
        <v>185</v>
      </c>
      <c r="D104" t="s">
        <v>45</v>
      </c>
      <c r="E104" t="s">
        <v>132</v>
      </c>
      <c r="F104" t="s">
        <v>46</v>
      </c>
      <c r="G104" t="b">
        <v>0</v>
      </c>
      <c r="H104" s="1">
        <f>BVW_BTItemLot[[#This Row],[CreatedDateTime]]-TIME(7,0,0)</f>
        <v>45790.449433530091</v>
      </c>
      <c r="I104" s="1">
        <v>45790.741100196756</v>
      </c>
      <c r="J104" t="s">
        <v>117</v>
      </c>
      <c r="K104" t="b">
        <f ca="1">IF(BVW_BTItemLot[[#This Row],[Age]] &gt; 5, TRUE, FALSE)</f>
        <v>1</v>
      </c>
      <c r="L104" s="2">
        <f ca="1">ROUND(NOW()-BVW_BTItemLot[[#This Row],[UpdatedDateTime]],2)</f>
        <v>42.6</v>
      </c>
      <c r="M104" s="1">
        <v>45790.750040312501</v>
      </c>
      <c r="N104" t="s">
        <v>117</v>
      </c>
      <c r="Q104" t="s">
        <v>133</v>
      </c>
      <c r="S104" t="s">
        <v>47</v>
      </c>
      <c r="T104" t="s">
        <v>48</v>
      </c>
      <c r="U104" t="s">
        <v>49</v>
      </c>
      <c r="V104" t="s">
        <v>61</v>
      </c>
      <c r="W104" t="s">
        <v>78</v>
      </c>
      <c r="X104" t="s">
        <v>50</v>
      </c>
      <c r="Y104" t="s">
        <v>77</v>
      </c>
      <c r="Z104" t="s">
        <v>50</v>
      </c>
      <c r="AB104" t="s">
        <v>134</v>
      </c>
      <c r="AC104" t="s">
        <v>122</v>
      </c>
      <c r="AD104" t="s">
        <v>135</v>
      </c>
      <c r="AE104" t="s">
        <v>136</v>
      </c>
      <c r="AF104" t="s">
        <v>137</v>
      </c>
      <c r="AG104" t="b">
        <v>0</v>
      </c>
      <c r="AH104" t="b">
        <v>1</v>
      </c>
      <c r="AI104">
        <v>1229</v>
      </c>
      <c r="AJ104">
        <v>1</v>
      </c>
      <c r="AK104">
        <v>1229</v>
      </c>
      <c r="AL104">
        <v>0</v>
      </c>
      <c r="AM104" t="s">
        <v>47</v>
      </c>
      <c r="AN104" t="s">
        <v>67</v>
      </c>
      <c r="AO104" s="1">
        <v>45790.739720752317</v>
      </c>
      <c r="AP104" t="s">
        <v>51</v>
      </c>
      <c r="AQ104" t="s">
        <v>45</v>
      </c>
      <c r="AR104" t="s">
        <v>52</v>
      </c>
      <c r="AU104" t="s">
        <v>54</v>
      </c>
      <c r="AV104" t="s">
        <v>74</v>
      </c>
    </row>
    <row r="105" spans="1:48" x14ac:dyDescent="0.55000000000000004">
      <c r="A105">
        <v>1</v>
      </c>
      <c r="B105">
        <v>1800</v>
      </c>
      <c r="C105">
        <v>34</v>
      </c>
      <c r="D105" t="s">
        <v>45</v>
      </c>
      <c r="E105" t="s">
        <v>236</v>
      </c>
      <c r="F105" t="s">
        <v>46</v>
      </c>
      <c r="G105" t="b">
        <v>0</v>
      </c>
      <c r="H105" s="1">
        <f>BVW_BTItemLot[[#This Row],[CreatedDateTime]]-TIME(7,0,0)</f>
        <v>45712.442428125003</v>
      </c>
      <c r="I105" s="1">
        <v>45712.734094791667</v>
      </c>
      <c r="J105" t="s">
        <v>237</v>
      </c>
      <c r="K105" t="b">
        <f ca="1">IF(BVW_BTItemLot[[#This Row],[Age]] &gt; 5, TRUE, FALSE)</f>
        <v>1</v>
      </c>
      <c r="L105" s="2">
        <f ca="1">ROUND(NOW()-BVW_BTItemLot[[#This Row],[UpdatedDateTime]],2)</f>
        <v>15.75</v>
      </c>
      <c r="M105" s="1">
        <v>45817.603433993056</v>
      </c>
      <c r="N105" t="s">
        <v>221</v>
      </c>
      <c r="Q105" t="s">
        <v>238</v>
      </c>
      <c r="R105" t="s">
        <v>239</v>
      </c>
      <c r="S105" t="s">
        <v>47</v>
      </c>
      <c r="T105" t="s">
        <v>48</v>
      </c>
      <c r="U105" t="s">
        <v>49</v>
      </c>
      <c r="V105" t="s">
        <v>49</v>
      </c>
      <c r="W105" t="s">
        <v>58</v>
      </c>
      <c r="X105" t="s">
        <v>50</v>
      </c>
      <c r="Y105" t="s">
        <v>59</v>
      </c>
      <c r="AB105" t="s">
        <v>240</v>
      </c>
      <c r="AC105" t="s">
        <v>241</v>
      </c>
      <c r="AD105" t="s">
        <v>242</v>
      </c>
      <c r="AE105" t="s">
        <v>243</v>
      </c>
      <c r="AF105" t="s">
        <v>244</v>
      </c>
      <c r="AG105" t="b">
        <v>0</v>
      </c>
      <c r="AH105" t="b">
        <v>1</v>
      </c>
      <c r="AI105">
        <v>1730</v>
      </c>
      <c r="AJ105">
        <v>1</v>
      </c>
      <c r="AK105">
        <v>1730</v>
      </c>
      <c r="AL105">
        <v>0</v>
      </c>
      <c r="AM105" t="s">
        <v>245</v>
      </c>
      <c r="AN105" t="s">
        <v>246</v>
      </c>
      <c r="AO105" s="1">
        <v>45712.721327199077</v>
      </c>
      <c r="AP105" t="s">
        <v>51</v>
      </c>
      <c r="AQ105" t="s">
        <v>45</v>
      </c>
      <c r="AR105" t="s">
        <v>52</v>
      </c>
      <c r="AU105" t="s">
        <v>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7E07-5954-4E58-9A76-298CBE68254C}">
  <sheetPr>
    <pageSetUpPr fitToPage="1"/>
  </sheetPr>
  <dimension ref="A1:G148"/>
  <sheetViews>
    <sheetView tabSelected="1" zoomScaleNormal="100" workbookViewId="0">
      <selection activeCell="D7" sqref="D7"/>
    </sheetView>
  </sheetViews>
  <sheetFormatPr defaultColWidth="28.578125" defaultRowHeight="14.4" x14ac:dyDescent="0.55000000000000004"/>
  <cols>
    <col min="1" max="1" width="12.15625" bestFit="1" customWidth="1"/>
    <col min="2" max="2" width="14.62890625" bestFit="1" customWidth="1"/>
    <col min="3" max="3" width="11.26171875" style="6" bestFit="1" customWidth="1"/>
    <col min="4" max="4" width="25.83984375" style="5" bestFit="1" customWidth="1"/>
    <col min="5" max="5" width="10.578125" bestFit="1" customWidth="1"/>
    <col min="6" max="6" width="16.7890625" bestFit="1" customWidth="1"/>
    <col min="7" max="7" width="9.41796875" bestFit="1" customWidth="1"/>
    <col min="8" max="8" width="12.83984375" bestFit="1" customWidth="1"/>
    <col min="9" max="9" width="11.578125" bestFit="1" customWidth="1"/>
    <col min="10" max="10" width="10.26171875" bestFit="1" customWidth="1"/>
    <col min="11" max="11" width="12.83984375" bestFit="1" customWidth="1"/>
    <col min="12" max="12" width="11.578125" bestFit="1" customWidth="1"/>
    <col min="13" max="13" width="10.26171875" bestFit="1" customWidth="1"/>
    <col min="14" max="14" width="18" bestFit="1" customWidth="1"/>
    <col min="15" max="15" width="127" bestFit="1" customWidth="1"/>
    <col min="16" max="16" width="15.26171875" bestFit="1" customWidth="1"/>
  </cols>
  <sheetData>
    <row r="1" spans="1:7" x14ac:dyDescent="0.55000000000000004">
      <c r="A1" s="3" t="s">
        <v>5</v>
      </c>
      <c r="B1" t="s" vm="1">
        <v>46</v>
      </c>
    </row>
    <row r="2" spans="1:7" x14ac:dyDescent="0.55000000000000004">
      <c r="A2" s="3" t="s">
        <v>94</v>
      </c>
      <c r="B2" t="s" vm="2">
        <v>95</v>
      </c>
    </row>
    <row r="3" spans="1:7" x14ac:dyDescent="0.55000000000000004">
      <c r="A3" s="8" t="s">
        <v>101</v>
      </c>
      <c r="B3" s="9">
        <f ca="1">NOW()</f>
        <v>45833.351847569444</v>
      </c>
    </row>
    <row r="4" spans="1:7" x14ac:dyDescent="0.55000000000000004">
      <c r="A4" s="3" t="s">
        <v>92</v>
      </c>
      <c r="B4" t="s">
        <v>93</v>
      </c>
      <c r="C4" t="s">
        <v>99</v>
      </c>
      <c r="D4" t="s">
        <v>100</v>
      </c>
      <c r="E4" s="7" t="s">
        <v>96</v>
      </c>
      <c r="F4" t="s">
        <v>102</v>
      </c>
      <c r="G4" s="5" t="s">
        <v>91</v>
      </c>
    </row>
    <row r="5" spans="1:7" x14ac:dyDescent="0.55000000000000004">
      <c r="A5" s="4" t="s">
        <v>58</v>
      </c>
      <c r="B5" s="10">
        <v>11.63</v>
      </c>
      <c r="C5" s="10">
        <v>2</v>
      </c>
      <c r="D5" s="10"/>
      <c r="E5" s="7"/>
      <c r="F5" s="10">
        <v>534</v>
      </c>
      <c r="G5" s="5">
        <v>2741</v>
      </c>
    </row>
    <row r="6" spans="1:7" x14ac:dyDescent="0.55000000000000004">
      <c r="A6" s="4" t="s">
        <v>76</v>
      </c>
      <c r="B6" s="10">
        <v>10.94</v>
      </c>
      <c r="C6" s="10">
        <v>13</v>
      </c>
      <c r="D6" s="10"/>
      <c r="E6" s="7"/>
      <c r="F6" s="10">
        <v>2405</v>
      </c>
      <c r="G6" s="5">
        <v>18457</v>
      </c>
    </row>
    <row r="7" spans="1:7" x14ac:dyDescent="0.55000000000000004">
      <c r="A7" s="4" t="s">
        <v>78</v>
      </c>
      <c r="B7" s="10">
        <v>18</v>
      </c>
      <c r="C7" s="10">
        <v>10</v>
      </c>
      <c r="D7" s="10"/>
      <c r="E7" s="7"/>
      <c r="F7" s="10">
        <v>1665</v>
      </c>
      <c r="G7" s="5">
        <v>12441</v>
      </c>
    </row>
    <row r="8" spans="1:7" x14ac:dyDescent="0.55000000000000004">
      <c r="A8" s="4" t="s">
        <v>64</v>
      </c>
      <c r="B8" s="10">
        <v>21.85</v>
      </c>
      <c r="C8" s="10">
        <v>2</v>
      </c>
      <c r="D8" s="10" t="s">
        <v>233</v>
      </c>
      <c r="E8" s="7" t="s">
        <v>131</v>
      </c>
      <c r="F8" s="10">
        <v>90</v>
      </c>
      <c r="G8" s="5">
        <v>3281</v>
      </c>
    </row>
    <row r="9" spans="1:7" x14ac:dyDescent="0.55000000000000004">
      <c r="A9" s="4" t="s">
        <v>97</v>
      </c>
      <c r="B9" s="10">
        <v>14.42</v>
      </c>
      <c r="C9" s="10">
        <v>27</v>
      </c>
      <c r="D9" s="10"/>
      <c r="E9" s="7"/>
      <c r="F9" s="10">
        <v>4694</v>
      </c>
      <c r="G9" s="5">
        <v>36920</v>
      </c>
    </row>
    <row r="10" spans="1:7" x14ac:dyDescent="0.55000000000000004">
      <c r="C10"/>
      <c r="D10"/>
    </row>
    <row r="11" spans="1:7" x14ac:dyDescent="0.55000000000000004">
      <c r="C11"/>
      <c r="D11"/>
    </row>
    <row r="12" spans="1:7" x14ac:dyDescent="0.55000000000000004">
      <c r="C12"/>
      <c r="D12"/>
    </row>
    <row r="13" spans="1:7" x14ac:dyDescent="0.55000000000000004">
      <c r="C13"/>
      <c r="D13"/>
    </row>
    <row r="14" spans="1:7" x14ac:dyDescent="0.55000000000000004">
      <c r="C14"/>
      <c r="D14"/>
    </row>
    <row r="15" spans="1:7" x14ac:dyDescent="0.55000000000000004">
      <c r="C15"/>
      <c r="D15"/>
    </row>
    <row r="16" spans="1:7" x14ac:dyDescent="0.55000000000000004">
      <c r="C16"/>
      <c r="D16"/>
    </row>
    <row r="17" spans="3:4" x14ac:dyDescent="0.55000000000000004">
      <c r="C17"/>
      <c r="D17"/>
    </row>
    <row r="18" spans="3:4" x14ac:dyDescent="0.55000000000000004">
      <c r="C18"/>
      <c r="D18"/>
    </row>
    <row r="19" spans="3:4" x14ac:dyDescent="0.55000000000000004">
      <c r="C19"/>
      <c r="D19"/>
    </row>
    <row r="20" spans="3:4" x14ac:dyDescent="0.55000000000000004">
      <c r="C20"/>
      <c r="D20"/>
    </row>
    <row r="21" spans="3:4" x14ac:dyDescent="0.55000000000000004">
      <c r="C21"/>
      <c r="D21"/>
    </row>
    <row r="22" spans="3:4" x14ac:dyDescent="0.55000000000000004">
      <c r="C22"/>
      <c r="D22"/>
    </row>
    <row r="23" spans="3:4" x14ac:dyDescent="0.55000000000000004">
      <c r="C23"/>
      <c r="D23"/>
    </row>
    <row r="24" spans="3:4" x14ac:dyDescent="0.55000000000000004">
      <c r="C24"/>
      <c r="D24"/>
    </row>
    <row r="25" spans="3:4" x14ac:dyDescent="0.55000000000000004">
      <c r="C25"/>
      <c r="D25"/>
    </row>
    <row r="26" spans="3:4" x14ac:dyDescent="0.55000000000000004">
      <c r="C26"/>
      <c r="D26"/>
    </row>
    <row r="27" spans="3:4" x14ac:dyDescent="0.55000000000000004">
      <c r="C27"/>
      <c r="D27"/>
    </row>
    <row r="28" spans="3:4" x14ac:dyDescent="0.55000000000000004">
      <c r="C28"/>
      <c r="D28"/>
    </row>
    <row r="29" spans="3:4" x14ac:dyDescent="0.55000000000000004">
      <c r="C29"/>
      <c r="D29"/>
    </row>
    <row r="30" spans="3:4" x14ac:dyDescent="0.55000000000000004">
      <c r="C30"/>
      <c r="D30"/>
    </row>
    <row r="31" spans="3:4" x14ac:dyDescent="0.55000000000000004">
      <c r="C31"/>
      <c r="D31"/>
    </row>
    <row r="32" spans="3:4" x14ac:dyDescent="0.55000000000000004">
      <c r="C32"/>
      <c r="D32"/>
    </row>
    <row r="33" spans="3:4" x14ac:dyDescent="0.55000000000000004">
      <c r="C33"/>
      <c r="D33"/>
    </row>
    <row r="34" spans="3:4" x14ac:dyDescent="0.55000000000000004">
      <c r="C34"/>
      <c r="D34"/>
    </row>
    <row r="35" spans="3:4" x14ac:dyDescent="0.55000000000000004">
      <c r="C35"/>
      <c r="D35"/>
    </row>
    <row r="36" spans="3:4" x14ac:dyDescent="0.55000000000000004">
      <c r="C36"/>
      <c r="D36"/>
    </row>
    <row r="37" spans="3:4" x14ac:dyDescent="0.55000000000000004">
      <c r="C37"/>
      <c r="D37"/>
    </row>
    <row r="38" spans="3:4" x14ac:dyDescent="0.55000000000000004">
      <c r="C38"/>
      <c r="D38"/>
    </row>
    <row r="39" spans="3:4" x14ac:dyDescent="0.55000000000000004">
      <c r="C39"/>
      <c r="D39"/>
    </row>
    <row r="40" spans="3:4" x14ac:dyDescent="0.55000000000000004">
      <c r="C40"/>
      <c r="D40"/>
    </row>
    <row r="41" spans="3:4" x14ac:dyDescent="0.55000000000000004">
      <c r="C41"/>
      <c r="D41"/>
    </row>
    <row r="42" spans="3:4" x14ac:dyDescent="0.55000000000000004">
      <c r="C42"/>
      <c r="D42"/>
    </row>
    <row r="43" spans="3:4" x14ac:dyDescent="0.55000000000000004">
      <c r="C43"/>
      <c r="D43"/>
    </row>
    <row r="44" spans="3:4" x14ac:dyDescent="0.55000000000000004">
      <c r="C44"/>
      <c r="D44"/>
    </row>
    <row r="45" spans="3:4" x14ac:dyDescent="0.55000000000000004">
      <c r="C45"/>
      <c r="D45"/>
    </row>
    <row r="46" spans="3:4" x14ac:dyDescent="0.55000000000000004">
      <c r="C46"/>
      <c r="D46"/>
    </row>
    <row r="47" spans="3:4" x14ac:dyDescent="0.55000000000000004">
      <c r="C47"/>
      <c r="D47"/>
    </row>
    <row r="48" spans="3:4" x14ac:dyDescent="0.55000000000000004">
      <c r="C48"/>
      <c r="D48"/>
    </row>
    <row r="49" spans="3:4" x14ac:dyDescent="0.55000000000000004">
      <c r="C49"/>
      <c r="D49"/>
    </row>
    <row r="50" spans="3:4" x14ac:dyDescent="0.55000000000000004">
      <c r="C50"/>
      <c r="D50"/>
    </row>
    <row r="51" spans="3:4" x14ac:dyDescent="0.55000000000000004">
      <c r="C51"/>
      <c r="D51"/>
    </row>
    <row r="52" spans="3:4" x14ac:dyDescent="0.55000000000000004">
      <c r="C52"/>
      <c r="D52"/>
    </row>
    <row r="53" spans="3:4" x14ac:dyDescent="0.55000000000000004">
      <c r="C53"/>
      <c r="D53"/>
    </row>
    <row r="54" spans="3:4" x14ac:dyDescent="0.55000000000000004">
      <c r="C54"/>
      <c r="D54"/>
    </row>
    <row r="55" spans="3:4" x14ac:dyDescent="0.55000000000000004">
      <c r="C55"/>
      <c r="D55"/>
    </row>
    <row r="56" spans="3:4" x14ac:dyDescent="0.55000000000000004">
      <c r="C56"/>
      <c r="D56"/>
    </row>
    <row r="57" spans="3:4" x14ac:dyDescent="0.55000000000000004">
      <c r="C57"/>
      <c r="D57"/>
    </row>
    <row r="58" spans="3:4" x14ac:dyDescent="0.55000000000000004">
      <c r="C58"/>
      <c r="D58"/>
    </row>
    <row r="59" spans="3:4" x14ac:dyDescent="0.55000000000000004">
      <c r="C59"/>
      <c r="D59"/>
    </row>
    <row r="60" spans="3:4" x14ac:dyDescent="0.55000000000000004">
      <c r="C60"/>
      <c r="D60"/>
    </row>
    <row r="61" spans="3:4" x14ac:dyDescent="0.55000000000000004">
      <c r="C61"/>
      <c r="D61"/>
    </row>
    <row r="62" spans="3:4" x14ac:dyDescent="0.55000000000000004">
      <c r="C62"/>
      <c r="D62"/>
    </row>
    <row r="63" spans="3:4" x14ac:dyDescent="0.55000000000000004">
      <c r="C63"/>
      <c r="D63"/>
    </row>
    <row r="64" spans="3:4" x14ac:dyDescent="0.55000000000000004">
      <c r="C64"/>
      <c r="D64"/>
    </row>
    <row r="65" spans="3:4" x14ac:dyDescent="0.55000000000000004">
      <c r="C65"/>
      <c r="D65"/>
    </row>
    <row r="66" spans="3:4" x14ac:dyDescent="0.55000000000000004">
      <c r="C66"/>
      <c r="D66"/>
    </row>
    <row r="67" spans="3:4" x14ac:dyDescent="0.55000000000000004">
      <c r="C67"/>
      <c r="D67"/>
    </row>
    <row r="68" spans="3:4" x14ac:dyDescent="0.55000000000000004">
      <c r="C68"/>
      <c r="D68"/>
    </row>
    <row r="69" spans="3:4" x14ac:dyDescent="0.55000000000000004">
      <c r="C69"/>
      <c r="D69"/>
    </row>
    <row r="70" spans="3:4" x14ac:dyDescent="0.55000000000000004">
      <c r="C70"/>
      <c r="D70"/>
    </row>
    <row r="71" spans="3:4" x14ac:dyDescent="0.55000000000000004">
      <c r="C71"/>
      <c r="D71"/>
    </row>
    <row r="72" spans="3:4" x14ac:dyDescent="0.55000000000000004">
      <c r="C72"/>
      <c r="D72"/>
    </row>
    <row r="73" spans="3:4" x14ac:dyDescent="0.55000000000000004">
      <c r="C73"/>
      <c r="D73"/>
    </row>
    <row r="74" spans="3:4" x14ac:dyDescent="0.55000000000000004">
      <c r="C74"/>
      <c r="D74"/>
    </row>
    <row r="75" spans="3:4" x14ac:dyDescent="0.55000000000000004">
      <c r="C75"/>
      <c r="D75"/>
    </row>
    <row r="76" spans="3:4" x14ac:dyDescent="0.55000000000000004">
      <c r="C76"/>
      <c r="D76"/>
    </row>
    <row r="77" spans="3:4" x14ac:dyDescent="0.55000000000000004">
      <c r="C77"/>
      <c r="D77"/>
    </row>
    <row r="78" spans="3:4" x14ac:dyDescent="0.55000000000000004">
      <c r="C78"/>
      <c r="D78"/>
    </row>
    <row r="79" spans="3:4" x14ac:dyDescent="0.55000000000000004">
      <c r="C79"/>
      <c r="D79"/>
    </row>
    <row r="80" spans="3:4" x14ac:dyDescent="0.55000000000000004">
      <c r="C80"/>
      <c r="D80"/>
    </row>
    <row r="81" spans="3:4" x14ac:dyDescent="0.55000000000000004">
      <c r="C81"/>
      <c r="D81"/>
    </row>
    <row r="82" spans="3:4" x14ac:dyDescent="0.55000000000000004">
      <c r="C82"/>
      <c r="D82"/>
    </row>
    <row r="83" spans="3:4" x14ac:dyDescent="0.55000000000000004">
      <c r="C83"/>
      <c r="D83"/>
    </row>
    <row r="84" spans="3:4" x14ac:dyDescent="0.55000000000000004">
      <c r="C84"/>
      <c r="D84"/>
    </row>
    <row r="85" spans="3:4" x14ac:dyDescent="0.55000000000000004">
      <c r="C85"/>
      <c r="D85"/>
    </row>
    <row r="86" spans="3:4" x14ac:dyDescent="0.55000000000000004">
      <c r="C86"/>
      <c r="D86"/>
    </row>
    <row r="87" spans="3:4" x14ac:dyDescent="0.55000000000000004">
      <c r="C87"/>
      <c r="D87"/>
    </row>
    <row r="88" spans="3:4" x14ac:dyDescent="0.55000000000000004">
      <c r="C88"/>
      <c r="D88"/>
    </row>
    <row r="89" spans="3:4" x14ac:dyDescent="0.55000000000000004">
      <c r="C89"/>
      <c r="D89"/>
    </row>
    <row r="90" spans="3:4" x14ac:dyDescent="0.55000000000000004">
      <c r="C90"/>
      <c r="D90"/>
    </row>
    <row r="91" spans="3:4" x14ac:dyDescent="0.55000000000000004">
      <c r="C91"/>
      <c r="D91"/>
    </row>
    <row r="92" spans="3:4" x14ac:dyDescent="0.55000000000000004">
      <c r="C92"/>
      <c r="D92"/>
    </row>
    <row r="93" spans="3:4" x14ac:dyDescent="0.55000000000000004">
      <c r="C93"/>
      <c r="D93"/>
    </row>
    <row r="94" spans="3:4" x14ac:dyDescent="0.55000000000000004">
      <c r="C94"/>
      <c r="D94"/>
    </row>
    <row r="95" spans="3:4" x14ac:dyDescent="0.55000000000000004">
      <c r="C95"/>
      <c r="D95"/>
    </row>
    <row r="96" spans="3:4" x14ac:dyDescent="0.55000000000000004">
      <c r="C96"/>
      <c r="D96"/>
    </row>
    <row r="97" spans="3:4" x14ac:dyDescent="0.55000000000000004">
      <c r="C97"/>
      <c r="D97"/>
    </row>
    <row r="98" spans="3:4" x14ac:dyDescent="0.55000000000000004">
      <c r="C98"/>
      <c r="D98"/>
    </row>
    <row r="99" spans="3:4" x14ac:dyDescent="0.55000000000000004">
      <c r="C99"/>
      <c r="D99"/>
    </row>
    <row r="100" spans="3:4" x14ac:dyDescent="0.55000000000000004">
      <c r="C100"/>
      <c r="D100"/>
    </row>
    <row r="101" spans="3:4" x14ac:dyDescent="0.55000000000000004">
      <c r="C101"/>
      <c r="D101"/>
    </row>
    <row r="102" spans="3:4" x14ac:dyDescent="0.55000000000000004">
      <c r="C102"/>
      <c r="D102"/>
    </row>
    <row r="103" spans="3:4" x14ac:dyDescent="0.55000000000000004">
      <c r="C103"/>
      <c r="D103"/>
    </row>
    <row r="104" spans="3:4" x14ac:dyDescent="0.55000000000000004">
      <c r="C104"/>
      <c r="D104"/>
    </row>
    <row r="105" spans="3:4" x14ac:dyDescent="0.55000000000000004">
      <c r="C105"/>
      <c r="D105"/>
    </row>
    <row r="106" spans="3:4" x14ac:dyDescent="0.55000000000000004">
      <c r="C106"/>
      <c r="D106"/>
    </row>
    <row r="107" spans="3:4" x14ac:dyDescent="0.55000000000000004">
      <c r="C107"/>
      <c r="D107"/>
    </row>
    <row r="108" spans="3:4" x14ac:dyDescent="0.55000000000000004">
      <c r="C108"/>
      <c r="D108"/>
    </row>
    <row r="109" spans="3:4" x14ac:dyDescent="0.55000000000000004">
      <c r="C109"/>
      <c r="D109"/>
    </row>
    <row r="110" spans="3:4" x14ac:dyDescent="0.55000000000000004">
      <c r="C110"/>
      <c r="D110"/>
    </row>
    <row r="111" spans="3:4" x14ac:dyDescent="0.55000000000000004">
      <c r="C111"/>
      <c r="D111"/>
    </row>
    <row r="112" spans="3:4" x14ac:dyDescent="0.55000000000000004">
      <c r="C112"/>
      <c r="D112"/>
    </row>
    <row r="113" spans="3:4" x14ac:dyDescent="0.55000000000000004">
      <c r="C113"/>
      <c r="D113"/>
    </row>
    <row r="114" spans="3:4" x14ac:dyDescent="0.55000000000000004">
      <c r="C114"/>
      <c r="D114"/>
    </row>
    <row r="115" spans="3:4" x14ac:dyDescent="0.55000000000000004">
      <c r="C115"/>
      <c r="D115"/>
    </row>
    <row r="116" spans="3:4" x14ac:dyDescent="0.55000000000000004">
      <c r="C116"/>
      <c r="D116"/>
    </row>
    <row r="117" spans="3:4" x14ac:dyDescent="0.55000000000000004">
      <c r="C117"/>
      <c r="D117"/>
    </row>
    <row r="118" spans="3:4" x14ac:dyDescent="0.55000000000000004">
      <c r="C118"/>
      <c r="D118"/>
    </row>
    <row r="119" spans="3:4" x14ac:dyDescent="0.55000000000000004">
      <c r="C119"/>
      <c r="D119"/>
    </row>
    <row r="120" spans="3:4" x14ac:dyDescent="0.55000000000000004">
      <c r="C120"/>
      <c r="D120"/>
    </row>
    <row r="121" spans="3:4" x14ac:dyDescent="0.55000000000000004">
      <c r="C121"/>
      <c r="D121"/>
    </row>
    <row r="122" spans="3:4" x14ac:dyDescent="0.55000000000000004">
      <c r="C122"/>
      <c r="D122"/>
    </row>
    <row r="123" spans="3:4" x14ac:dyDescent="0.55000000000000004">
      <c r="C123"/>
      <c r="D123"/>
    </row>
    <row r="124" spans="3:4" x14ac:dyDescent="0.55000000000000004">
      <c r="C124"/>
      <c r="D124"/>
    </row>
    <row r="125" spans="3:4" x14ac:dyDescent="0.55000000000000004">
      <c r="C125"/>
      <c r="D125"/>
    </row>
    <row r="126" spans="3:4" x14ac:dyDescent="0.55000000000000004">
      <c r="C126"/>
      <c r="D126"/>
    </row>
    <row r="127" spans="3:4" x14ac:dyDescent="0.55000000000000004">
      <c r="C127"/>
      <c r="D127"/>
    </row>
    <row r="128" spans="3:4" x14ac:dyDescent="0.55000000000000004">
      <c r="C128"/>
      <c r="D128"/>
    </row>
    <row r="129" spans="3:4" x14ac:dyDescent="0.55000000000000004">
      <c r="C129"/>
      <c r="D129"/>
    </row>
    <row r="130" spans="3:4" x14ac:dyDescent="0.55000000000000004">
      <c r="C130"/>
      <c r="D130"/>
    </row>
    <row r="131" spans="3:4" x14ac:dyDescent="0.55000000000000004">
      <c r="C131"/>
      <c r="D131"/>
    </row>
    <row r="132" spans="3:4" x14ac:dyDescent="0.55000000000000004">
      <c r="C132"/>
      <c r="D132"/>
    </row>
    <row r="133" spans="3:4" x14ac:dyDescent="0.55000000000000004">
      <c r="C133"/>
      <c r="D133"/>
    </row>
    <row r="134" spans="3:4" x14ac:dyDescent="0.55000000000000004">
      <c r="C134"/>
      <c r="D134"/>
    </row>
    <row r="135" spans="3:4" x14ac:dyDescent="0.55000000000000004">
      <c r="C135"/>
      <c r="D135"/>
    </row>
    <row r="136" spans="3:4" x14ac:dyDescent="0.55000000000000004">
      <c r="C136"/>
      <c r="D136"/>
    </row>
    <row r="137" spans="3:4" x14ac:dyDescent="0.55000000000000004">
      <c r="C137"/>
      <c r="D137"/>
    </row>
    <row r="138" spans="3:4" x14ac:dyDescent="0.55000000000000004">
      <c r="C138"/>
      <c r="D138"/>
    </row>
    <row r="139" spans="3:4" x14ac:dyDescent="0.55000000000000004">
      <c r="C139"/>
      <c r="D139"/>
    </row>
    <row r="140" spans="3:4" x14ac:dyDescent="0.55000000000000004">
      <c r="C140"/>
      <c r="D140"/>
    </row>
    <row r="141" spans="3:4" x14ac:dyDescent="0.55000000000000004">
      <c r="C141"/>
      <c r="D141"/>
    </row>
    <row r="142" spans="3:4" x14ac:dyDescent="0.55000000000000004">
      <c r="C142"/>
      <c r="D142"/>
    </row>
    <row r="143" spans="3:4" x14ac:dyDescent="0.55000000000000004">
      <c r="C143"/>
      <c r="D143"/>
    </row>
    <row r="144" spans="3:4" x14ac:dyDescent="0.55000000000000004">
      <c r="C144"/>
      <c r="D144"/>
    </row>
    <row r="145" spans="3:4" x14ac:dyDescent="0.55000000000000004">
      <c r="C145"/>
      <c r="D145"/>
    </row>
    <row r="146" spans="3:4" x14ac:dyDescent="0.55000000000000004">
      <c r="C146"/>
      <c r="D146"/>
    </row>
    <row r="147" spans="3:4" x14ac:dyDescent="0.55000000000000004">
      <c r="C147"/>
      <c r="D147"/>
    </row>
    <row r="148" spans="3:4" x14ac:dyDescent="0.55000000000000004">
      <c r="C148"/>
      <c r="D148"/>
    </row>
  </sheetData>
  <printOptions horizontalCentered="1" verticalCentered="1"/>
  <pageMargins left="0.7" right="0.7" top="0.75" bottom="0.75" header="0.3" footer="0.3"/>
  <pageSetup orientation="landscape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FC943871-FF7D-47C3-B5B8-1404FEBAAE0D}">
  <ds:schemaRefs/>
</ds:datastoreItem>
</file>

<file path=customXml/itemProps2.xml><?xml version="1.0" encoding="utf-8"?>
<ds:datastoreItem xmlns:ds="http://schemas.openxmlformats.org/officeDocument/2006/customXml" ds:itemID="{CF2ED69A-9673-4C7F-9B2F-0891D9A125AE}">
  <ds:schemaRefs/>
</ds:datastoreItem>
</file>

<file path=customXml/itemProps3.xml><?xml version="1.0" encoding="utf-8"?>
<ds:datastoreItem xmlns:ds="http://schemas.openxmlformats.org/officeDocument/2006/customXml" ds:itemID="{6A0D6643-0811-4A58-B6A0-59A104925D30}">
  <ds:schemaRefs/>
</ds:datastoreItem>
</file>

<file path=customXml/itemProps4.xml><?xml version="1.0" encoding="utf-8"?>
<ds:datastoreItem xmlns:ds="http://schemas.openxmlformats.org/officeDocument/2006/customXml" ds:itemID="{57DF2697-CF67-4F61-82A0-7D15D3BC330C}">
  <ds:schemaRefs/>
</ds:datastoreItem>
</file>

<file path=customXml/itemProps5.xml><?xml version="1.0" encoding="utf-8"?>
<ds:datastoreItem xmlns:ds="http://schemas.openxmlformats.org/officeDocument/2006/customXml" ds:itemID="{079C1501-A1C9-491C-B222-D77E423464ED}">
  <ds:schemaRefs/>
</ds:datastoreItem>
</file>

<file path=customXml/itemProps6.xml><?xml version="1.0" encoding="utf-8"?>
<ds:datastoreItem xmlns:ds="http://schemas.openxmlformats.org/officeDocument/2006/customXml" ds:itemID="{ED4BA855-4858-413B-A42E-C997AC1324D3}">
  <ds:schemaRefs/>
</ds:datastoreItem>
</file>

<file path=customXml/itemProps7.xml><?xml version="1.0" encoding="utf-8"?>
<ds:datastoreItem xmlns:ds="http://schemas.openxmlformats.org/officeDocument/2006/customXml" ds:itemID="{53CF1730-9D67-4F21-AD90-B7EC321C5C4B}">
  <ds:schemaRefs/>
</ds:datastoreItem>
</file>

<file path=customXml/itemProps8.xml><?xml version="1.0" encoding="utf-8"?>
<ds:datastoreItem xmlns:ds="http://schemas.openxmlformats.org/officeDocument/2006/customXml" ds:itemID="{D2092BBC-0812-4BB2-9E21-A92EE557A62E}">
  <ds:schemaRefs/>
</ds:datastoreItem>
</file>

<file path=customXml/itemProps9.xml><?xml version="1.0" encoding="utf-8"?>
<ds:datastoreItem xmlns:ds="http://schemas.openxmlformats.org/officeDocument/2006/customXml" ds:itemID="{542D6A5B-0E5D-4616-A2BC-56CEAD687446}">
  <ds:schemaRefs/>
</ds:datastoreItem>
</file>

<file path=customXml/itemProps10.xml><?xml version="1.0" encoding="utf-8"?>
<ds:datastoreItem xmlns:ds="http://schemas.openxmlformats.org/officeDocument/2006/customXml" ds:itemID="{903E8D2D-903F-4AE0-83A3-9A095F09A8BD}">
  <ds:schemaRefs/>
</ds:datastoreItem>
</file>

<file path=customXml/itemProps11.xml><?xml version="1.0" encoding="utf-8"?>
<ds:datastoreItem xmlns:ds="http://schemas.openxmlformats.org/officeDocument/2006/customXml" ds:itemID="{C629FF4E-6CD8-4C10-A81E-C2BCA4C38864}">
  <ds:schemaRefs/>
</ds:datastoreItem>
</file>

<file path=customXml/itemProps12.xml><?xml version="1.0" encoding="utf-8"?>
<ds:datastoreItem xmlns:ds="http://schemas.openxmlformats.org/officeDocument/2006/customXml" ds:itemID="{6892BEF1-937C-4179-90BB-EFDB8B437A5F}">
  <ds:schemaRefs/>
</ds:datastoreItem>
</file>

<file path=customXml/itemProps13.xml><?xml version="1.0" encoding="utf-8"?>
<ds:datastoreItem xmlns:ds="http://schemas.openxmlformats.org/officeDocument/2006/customXml" ds:itemID="{2F155333-4085-43C7-8328-CF051AE44B95}">
  <ds:schemaRefs/>
</ds:datastoreItem>
</file>

<file path=customXml/itemProps14.xml><?xml version="1.0" encoding="utf-8"?>
<ds:datastoreItem xmlns:ds="http://schemas.openxmlformats.org/officeDocument/2006/customXml" ds:itemID="{2B4B340F-031B-473C-9399-2E1F6FE266F4}">
  <ds:schemaRefs/>
</ds:datastoreItem>
</file>

<file path=customXml/itemProps15.xml><?xml version="1.0" encoding="utf-8"?>
<ds:datastoreItem xmlns:ds="http://schemas.openxmlformats.org/officeDocument/2006/customXml" ds:itemID="{7BC7449F-20A8-4B12-BA78-E2DC6D0EE739}">
  <ds:schemaRefs/>
</ds:datastoreItem>
</file>

<file path=customXml/itemProps16.xml><?xml version="1.0" encoding="utf-8"?>
<ds:datastoreItem xmlns:ds="http://schemas.openxmlformats.org/officeDocument/2006/customXml" ds:itemID="{A6192646-9D9D-4FD2-9888-71C68BC53D51}">
  <ds:schemaRefs/>
</ds:datastoreItem>
</file>

<file path=customXml/itemProps17.xml><?xml version="1.0" encoding="utf-8"?>
<ds:datastoreItem xmlns:ds="http://schemas.openxmlformats.org/officeDocument/2006/customXml" ds:itemID="{622F7CF6-B010-475D-9427-D39E7AB606E1}">
  <ds:schemaRefs/>
</ds:datastoreItem>
</file>

<file path=customXml/itemProps18.xml><?xml version="1.0" encoding="utf-8"?>
<ds:datastoreItem xmlns:ds="http://schemas.openxmlformats.org/officeDocument/2006/customXml" ds:itemID="{D3DC729C-DFF0-4B6E-9B45-E127CD018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STUCK_POUND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Le</dc:creator>
  <cp:lastModifiedBy>Richard Le</cp:lastModifiedBy>
  <cp:lastPrinted>2025-06-24T12:07:35Z</cp:lastPrinted>
  <dcterms:created xsi:type="dcterms:W3CDTF">2015-06-05T18:17:20Z</dcterms:created>
  <dcterms:modified xsi:type="dcterms:W3CDTF">2025-06-25T12:51:04Z</dcterms:modified>
</cp:coreProperties>
</file>